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o Type B (2)" sheetId="1" r:id="rId4"/>
    <sheet state="visible" name="BusinessFINAL (2)" sheetId="2" r:id="rId5"/>
    <sheet state="visible" name="Workers Comp (2)" sheetId="3" r:id="rId6"/>
    <sheet state="visible" name="Equipment (2)" sheetId="4" r:id="rId7"/>
    <sheet state="visible" name="Workers Comp" sheetId="5" r:id="rId8"/>
    <sheet state="visible" name="Equipment" sheetId="6" r:id="rId9"/>
    <sheet state="visible" name="Cargo Type A" sheetId="7" r:id="rId10"/>
    <sheet state="visible" name="Cargo Type B" sheetId="8" r:id="rId11"/>
    <sheet state="visible" name="BusinessFINAL" sheetId="9" r:id="rId12"/>
  </sheets>
  <definedNames/>
  <calcPr/>
  <extLst>
    <ext uri="GoogleSheetsCustomDataVersion2">
      <go:sheetsCustomData xmlns:go="http://customooxmlschemas.google.com/" r:id="rId13" roundtripDataChecksum="PxvdZa4UUX08CkirdDjwiAWV6SuxcRN9EmWDvYoTWOg="/>
    </ext>
  </extLst>
</workbook>
</file>

<file path=xl/sharedStrings.xml><?xml version="1.0" encoding="utf-8"?>
<sst xmlns="http://schemas.openxmlformats.org/spreadsheetml/2006/main" count="498" uniqueCount="105">
  <si>
    <t>Number of Cargo</t>
  </si>
  <si>
    <t>Loading Premium</t>
  </si>
  <si>
    <t>Costs</t>
  </si>
  <si>
    <t>High Risk</t>
  </si>
  <si>
    <t>Low Risk</t>
  </si>
  <si>
    <t>Type A</t>
  </si>
  <si>
    <t>QB</t>
  </si>
  <si>
    <t>GE</t>
  </si>
  <si>
    <t>RA</t>
  </si>
  <si>
    <t>FC</t>
  </si>
  <si>
    <t>IP</t>
  </si>
  <si>
    <t>FR</t>
  </si>
  <si>
    <t>Total Premium</t>
  </si>
  <si>
    <t>Pure Premium</t>
  </si>
  <si>
    <t>Premium</t>
  </si>
  <si>
    <t>Total Cost</t>
  </si>
  <si>
    <t>Total Revenue</t>
  </si>
  <si>
    <t>Profit</t>
  </si>
  <si>
    <t>Profit Margin</t>
  </si>
  <si>
    <t>Average Expansion Rate</t>
  </si>
  <si>
    <t>Over 10 Years</t>
  </si>
  <si>
    <t>Per Year</t>
  </si>
  <si>
    <t>Helionis Cluster</t>
  </si>
  <si>
    <t>Bayesia System</t>
  </si>
  <si>
    <t>Oryn Delta</t>
  </si>
  <si>
    <t xml:space="preserve">Year </t>
  </si>
  <si>
    <t xml:space="preserve">Inflation </t>
  </si>
  <si>
    <t xml:space="preserve">Interest Rate </t>
  </si>
  <si>
    <t>Aggregate Loss (Scenario 1)</t>
  </si>
  <si>
    <t>Aggregate Loss (Scenario 2)</t>
  </si>
  <si>
    <t>Aggregate Loss (Scenario 3)</t>
  </si>
  <si>
    <t>Aggregate Loss (Scenario 4)</t>
  </si>
  <si>
    <t>Total Cargo Type A</t>
  </si>
  <si>
    <t xml:space="preserve">Pure Premium </t>
  </si>
  <si>
    <t>Average Cost (1)</t>
  </si>
  <si>
    <t>Single Premium (1)</t>
  </si>
  <si>
    <t>Total Premium (1)</t>
  </si>
  <si>
    <t>Investment Income</t>
  </si>
  <si>
    <t>Total Profit</t>
  </si>
  <si>
    <t>Reserves (EOY)</t>
  </si>
  <si>
    <t>Investment Income (with reserves)</t>
  </si>
  <si>
    <t>Profit Margin (With reserves)</t>
  </si>
  <si>
    <t>Profit Margin for scenario 1(Aggregate)</t>
  </si>
  <si>
    <t>Profit Margin for base case(Aggregate)</t>
  </si>
  <si>
    <t>Profit Margin for scenario 3(Aggregate)</t>
  </si>
  <si>
    <t>Profit Margin for scenario 4(Aggregate)</t>
  </si>
  <si>
    <t>Aggregate Loss</t>
  </si>
  <si>
    <t>Number of Business</t>
  </si>
  <si>
    <t>BUSINESS</t>
  </si>
  <si>
    <t>Interest Rate</t>
  </si>
  <si>
    <t>Aggregate Loss (Scenario 5)</t>
  </si>
  <si>
    <t>Total Business</t>
  </si>
  <si>
    <t>Investment Income (no reserves)</t>
  </si>
  <si>
    <t>Profit Margin for scenario 5(Aggregate)</t>
  </si>
  <si>
    <t>Number of Workers</t>
  </si>
  <si>
    <t>Interest Rates and Inflation Rates</t>
  </si>
  <si>
    <t>Year</t>
  </si>
  <si>
    <t>Inflation</t>
  </si>
  <si>
    <t xml:space="preserve"> Overnight Bank Lending Rate</t>
  </si>
  <si>
    <t>1-Year Risk Free Annual Spot Rate</t>
  </si>
  <si>
    <t>10-Year Risk Free Annual Spot Rate</t>
  </si>
  <si>
    <t>Classifying Workers</t>
  </si>
  <si>
    <t xml:space="preserve">White Collar </t>
  </si>
  <si>
    <t>Exploration Operations</t>
  </si>
  <si>
    <t>Extraction Operations</t>
  </si>
  <si>
    <t>Spacecraft Operations</t>
  </si>
  <si>
    <t>investment</t>
  </si>
  <si>
    <t>Reserve Rate</t>
  </si>
  <si>
    <t>Average</t>
  </si>
  <si>
    <t xml:space="preserve">Growth Rate of Company </t>
  </si>
  <si>
    <t>(Average of Expansation rates per year)</t>
  </si>
  <si>
    <t>Inflation year to year</t>
  </si>
  <si>
    <t>Took Average</t>
  </si>
  <si>
    <t xml:space="preserve">Interest rate revenue </t>
  </si>
  <si>
    <t xml:space="preserve">consider are the number of emplyees growing do to growth </t>
  </si>
  <si>
    <t>Considered as 1%</t>
  </si>
  <si>
    <t>White Collar  (1)</t>
  </si>
  <si>
    <t>Exploration Operations (2)</t>
  </si>
  <si>
    <t>Extraction Operations (3)</t>
  </si>
  <si>
    <t>Spacecraft Operations (4)</t>
  </si>
  <si>
    <t xml:space="preserve">Total Workers </t>
  </si>
  <si>
    <t>Average Cost (2)</t>
  </si>
  <si>
    <t>Average Cost (3)</t>
  </si>
  <si>
    <t>Average Cost (4)</t>
  </si>
  <si>
    <t>Single premium (1)</t>
  </si>
  <si>
    <t>Single premium (2)</t>
  </si>
  <si>
    <t>Single premium (3)</t>
  </si>
  <si>
    <t>Single premium (4)</t>
  </si>
  <si>
    <t>Total premium (1)</t>
  </si>
  <si>
    <t>Total premium (2)</t>
  </si>
  <si>
    <t>Total premium (3)</t>
  </si>
  <si>
    <t>Total premium (4)</t>
  </si>
  <si>
    <t xml:space="preserve">Sum total Premium </t>
  </si>
  <si>
    <t xml:space="preserve">Investment income </t>
  </si>
  <si>
    <t xml:space="preserve">Total revenue </t>
  </si>
  <si>
    <t>Total profit</t>
  </si>
  <si>
    <t xml:space="preserve">Aggregate Loss </t>
  </si>
  <si>
    <t>Number of Equipment</t>
  </si>
  <si>
    <t>Aggregate Loss (scenario 5)</t>
  </si>
  <si>
    <t>Total Equipment</t>
  </si>
  <si>
    <t>High Risk (1)</t>
  </si>
  <si>
    <t>Low Risk (2)</t>
  </si>
  <si>
    <t>Single Premium (2)</t>
  </si>
  <si>
    <t>Total Premium (2)</t>
  </si>
  <si>
    <t>Sum Total 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</si>
</sst>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.00_);_(* \(#,##0.00\);_(* &quot;-&quot;??_);_(@_)"/>
    <numFmt numFmtId="165" formatCode="0.0%"/>
    <numFmt numFmtId="166" formatCode="0.000%"/>
    <numFmt numFmtId="167" formatCode="_(&quot;$&quot;* #,##0.00_);_(&quot;$&quot;* \(#,##0.00\);_(&quot;$&quot;* &quot;-&quot;??_);_(@_)"/>
    <numFmt numFmtId="168" formatCode="0.00000%"/>
    <numFmt numFmtId="169" formatCode="0.0000000000000000%"/>
    <numFmt numFmtId="170" formatCode="0.000"/>
  </numFmts>
  <fonts count="6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b/>
      <sz val="12.0"/>
      <color rgb="FF000000"/>
      <name val="Aptos Narrow"/>
    </font>
    <font>
      <sz val="12.0"/>
      <color rgb="FF000000"/>
      <name val="Aptos Narrow"/>
    </font>
    <font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1CEEE"/>
        <bgColor rgb="FFF1CEEE"/>
      </patternFill>
    </fill>
    <fill>
      <patternFill patternType="solid">
        <fgColor rgb="FFF6C6AC"/>
        <bgColor rgb="FFF6C6AC"/>
      </patternFill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F7C7AC"/>
        <bgColor rgb="FFF7C7AC"/>
      </patternFill>
    </fill>
    <fill>
      <patternFill patternType="solid">
        <fgColor rgb="FFA0C4FF"/>
        <bgColor rgb="FFA0C4FF"/>
      </patternFill>
    </fill>
    <fill>
      <patternFill patternType="solid">
        <fgColor rgb="FFE49EDD"/>
        <bgColor rgb="FFE49EDD"/>
      </patternFill>
    </fill>
    <fill>
      <patternFill patternType="solid">
        <fgColor rgb="FFDAD0FF"/>
        <bgColor rgb="FFDAD0FF"/>
      </patternFill>
    </fill>
    <fill>
      <patternFill patternType="solid">
        <fgColor rgb="FFFFC0E8"/>
        <bgColor rgb="FFFFC0E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164" xfId="0" applyFont="1" applyNumberFormat="1"/>
    <xf borderId="0" fillId="0" fontId="4" numFmtId="0" xfId="0" applyFont="1"/>
    <xf borderId="0" fillId="0" fontId="4" numFmtId="9" xfId="0" applyFont="1" applyNumberFormat="1"/>
    <xf borderId="0" fillId="0" fontId="4" numFmtId="164" xfId="0" applyFont="1" applyNumberFormat="1"/>
    <xf borderId="0" fillId="0" fontId="3" numFmtId="9" xfId="0" applyFont="1" applyNumberFormat="1"/>
    <xf borderId="0" fillId="0" fontId="2" numFmtId="10" xfId="0" applyAlignment="1" applyFont="1" applyNumberFormat="1">
      <alignment horizontal="center"/>
    </xf>
    <xf borderId="0" fillId="0" fontId="2" numFmtId="164" xfId="0" applyFont="1" applyNumberFormat="1"/>
    <xf borderId="0" fillId="0" fontId="2" numFmtId="10" xfId="0" applyFont="1" applyNumberFormat="1"/>
    <xf borderId="0" fillId="0" fontId="1" numFmtId="165" xfId="0" applyFont="1" applyNumberFormat="1"/>
    <xf borderId="0" fillId="0" fontId="2" numFmtId="9" xfId="0" applyFont="1" applyNumberFormat="1"/>
    <xf borderId="0" fillId="0" fontId="2" numFmtId="165" xfId="0" applyFont="1" applyNumberFormat="1"/>
    <xf borderId="0" fillId="0" fontId="1" numFmtId="0" xfId="0" applyAlignment="1" applyFont="1">
      <alignment horizontal="center"/>
    </xf>
    <xf borderId="0" fillId="0" fontId="5" numFmtId="0" xfId="0" applyFont="1"/>
    <xf borderId="0" fillId="0" fontId="2" numFmtId="2" xfId="0" applyFont="1" applyNumberFormat="1"/>
    <xf borderId="0" fillId="0" fontId="2" numFmtId="166" xfId="0" applyFont="1" applyNumberFormat="1"/>
    <xf borderId="1" fillId="2" fontId="3" numFmtId="10" xfId="0" applyBorder="1" applyFill="1" applyFont="1" applyNumberFormat="1"/>
    <xf borderId="1" fillId="2" fontId="2" numFmtId="166" xfId="0" applyBorder="1" applyFont="1" applyNumberFormat="1"/>
    <xf borderId="0" fillId="0" fontId="3" numFmtId="0" xfId="0" applyAlignment="1" applyFont="1">
      <alignment horizontal="center"/>
    </xf>
    <xf borderId="0" fillId="0" fontId="4" numFmtId="10" xfId="0" applyFont="1" applyNumberFormat="1"/>
    <xf borderId="1" fillId="3" fontId="4" numFmtId="0" xfId="0" applyBorder="1" applyFill="1" applyFont="1"/>
    <xf borderId="1" fillId="4" fontId="4" numFmtId="9" xfId="0" applyBorder="1" applyFill="1" applyFont="1" applyNumberFormat="1"/>
    <xf borderId="0" fillId="0" fontId="1" numFmtId="10" xfId="0" applyFont="1" applyNumberFormat="1"/>
    <xf borderId="0" fillId="0" fontId="4" numFmtId="10" xfId="0" applyAlignment="1" applyFont="1" applyNumberFormat="1">
      <alignment horizontal="center"/>
    </xf>
    <xf borderId="1" fillId="3" fontId="4" numFmtId="167" xfId="0" applyBorder="1" applyFont="1" applyNumberFormat="1"/>
    <xf borderId="0" fillId="0" fontId="2" numFmtId="167" xfId="0" applyFont="1" applyNumberFormat="1"/>
    <xf borderId="0" fillId="0" fontId="5" numFmtId="3" xfId="0" applyFont="1" applyNumberFormat="1"/>
    <xf borderId="0" fillId="0" fontId="2" numFmtId="168" xfId="0" applyFont="1" applyNumberFormat="1"/>
    <xf borderId="1" fillId="2" fontId="2" numFmtId="168" xfId="0" applyBorder="1" applyFont="1" applyNumberFormat="1"/>
    <xf borderId="1" fillId="2" fontId="3" numFmtId="0" xfId="0" applyBorder="1" applyFont="1"/>
    <xf borderId="0" fillId="0" fontId="2" numFmtId="0" xfId="0" applyAlignment="1" applyFont="1">
      <alignment horizontal="center"/>
    </xf>
    <xf borderId="0" fillId="0" fontId="2" numFmtId="169" xfId="0" applyFont="1" applyNumberFormat="1"/>
    <xf borderId="1" fillId="5" fontId="2" numFmtId="9" xfId="0" applyBorder="1" applyFill="1" applyFont="1" applyNumberFormat="1"/>
    <xf borderId="1" fillId="5" fontId="2" numFmtId="164" xfId="0" applyBorder="1" applyFont="1" applyNumberFormat="1"/>
    <xf borderId="1" fillId="5" fontId="2" numFmtId="0" xfId="0" applyBorder="1" applyFont="1"/>
    <xf borderId="1" fillId="5" fontId="2" numFmtId="10" xfId="0" applyBorder="1" applyFont="1" applyNumberFormat="1"/>
    <xf borderId="1" fillId="6" fontId="2" numFmtId="0" xfId="0" applyBorder="1" applyFill="1" applyFont="1"/>
    <xf borderId="1" fillId="6" fontId="2" numFmtId="2" xfId="0" applyBorder="1" applyFont="1" applyNumberFormat="1"/>
    <xf borderId="1" fillId="6" fontId="2" numFmtId="10" xfId="0" applyBorder="1" applyFont="1" applyNumberFormat="1"/>
    <xf borderId="0" fillId="0" fontId="2" numFmtId="1" xfId="0" applyFont="1" applyNumberFormat="1"/>
    <xf borderId="1" fillId="7" fontId="2" numFmtId="0" xfId="0" applyBorder="1" applyFill="1" applyFont="1"/>
    <xf borderId="0" fillId="0" fontId="2" numFmtId="170" xfId="0" applyFont="1" applyNumberFormat="1"/>
    <xf borderId="1" fillId="8" fontId="2" numFmtId="0" xfId="0" applyBorder="1" applyFill="1" applyFont="1"/>
    <xf borderId="1" fillId="9" fontId="2" numFmtId="0" xfId="0" applyBorder="1" applyFill="1" applyFont="1"/>
    <xf borderId="1" fillId="9" fontId="2" numFmtId="164" xfId="0" applyBorder="1" applyFont="1" applyNumberFormat="1"/>
    <xf borderId="1" fillId="2" fontId="2" numFmtId="10" xfId="0" applyBorder="1" applyFont="1" applyNumberFormat="1"/>
    <xf borderId="0" fillId="0" fontId="4" numFmtId="0" xfId="0" applyAlignment="1" applyFont="1">
      <alignment horizontal="center"/>
    </xf>
    <xf borderId="1" fillId="10" fontId="4" numFmtId="0" xfId="0" applyBorder="1" applyFill="1" applyFont="1"/>
    <xf borderId="1" fillId="10" fontId="4" numFmtId="2" xfId="0" applyBorder="1" applyFont="1" applyNumberFormat="1"/>
    <xf borderId="1" fillId="11" fontId="1" numFmtId="0" xfId="0" applyBorder="1" applyFill="1" applyFont="1"/>
    <xf borderId="1" fillId="11" fontId="2" numFmtId="10" xfId="0" applyBorder="1" applyFont="1" applyNumberFormat="1"/>
    <xf borderId="1" fillId="11" fontId="2" numFmtId="0" xfId="0" applyBorder="1" applyFont="1"/>
    <xf borderId="1" fillId="12" fontId="1" numFmtId="0" xfId="0" applyBorder="1" applyFill="1" applyFont="1"/>
    <xf borderId="1" fillId="12" fontId="2" numFmtId="0" xfId="0" applyBorder="1" applyFont="1"/>
    <xf borderId="1" fillId="12" fontId="2" numFmtId="164" xfId="0" applyBorder="1" applyFont="1" applyNumberFormat="1"/>
    <xf borderId="1" fillId="12" fontId="2" numFmtId="10" xfId="0" applyBorder="1" applyFont="1" applyNumberFormat="1"/>
    <xf borderId="1" fillId="13" fontId="1" numFmtId="0" xfId="0" applyBorder="1" applyFill="1" applyFont="1"/>
    <xf borderId="1" fillId="13" fontId="2" numFmtId="164" xfId="0" applyBorder="1" applyFont="1" applyNumberFormat="1"/>
    <xf borderId="1" fillId="13" fontId="2" numFmtId="0" xfId="0" applyBorder="1" applyFont="1"/>
    <xf borderId="1" fillId="2" fontId="1" numFmtId="10" xfId="0" applyBorder="1" applyFont="1" applyNumberFormat="1"/>
    <xf borderId="1" fillId="2" fontId="1" numFmtId="0" xfId="0" applyBorder="1" applyFont="1"/>
    <xf borderId="1" fillId="14" fontId="1" numFmtId="0" xfId="0" applyBorder="1" applyFill="1" applyFont="1"/>
    <xf borderId="1" fillId="14" fontId="2" numFmtId="164" xfId="0" applyBorder="1" applyFont="1" applyNumberFormat="1"/>
    <xf borderId="1" fillId="14" fontId="2" numFmtId="10" xfId="0" applyBorder="1" applyFont="1" applyNumberFormat="1"/>
    <xf borderId="1" fillId="1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Cargo Loss Type B: Projected Aggregate Loss and Profit Margins</a:t>
            </a:r>
          </a:p>
        </c:rich>
      </c:tx>
      <c:overlay val="0"/>
    </c:title>
    <c:plotArea>
      <c:layout>
        <c:manualLayout>
          <c:xMode val="edge"/>
          <c:yMode val="edge"/>
          <c:x val="0.073953356710822"/>
          <c:y val="0.10193677270922004"/>
          <c:w val="0.8707653913033433"/>
          <c:h val="0.7798860034434882"/>
        </c:manualLayout>
      </c:layout>
      <c:barChart>
        <c:barDir val="col"/>
        <c:ser>
          <c:idx val="0"/>
          <c:order val="0"/>
          <c:tx>
            <c:v>Aggregate Loss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'Cargo Type B (2)'!$C$47:$M$47</c:f>
            </c:strRef>
          </c:cat>
          <c:val>
            <c:numRef>
              <c:f>'Cargo Type B (2)'!$C$48:$M$48</c:f>
              <c:numCache/>
            </c:numRef>
          </c:val>
        </c:ser>
        <c:axId val="349230006"/>
        <c:axId val="116908603"/>
      </c:barChart>
      <c:lineChart>
        <c:varyColors val="0"/>
        <c:ser>
          <c:idx val="1"/>
          <c:order val="1"/>
          <c:tx>
            <c:v>Profit Margin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'Cargo Type B (2)'!$C$47:$M$47</c:f>
            </c:strRef>
          </c:cat>
          <c:val>
            <c:numRef>
              <c:f>'Cargo Type B (2)'!$C$49:$M$49</c:f>
              <c:numCache/>
            </c:numRef>
          </c:val>
          <c:smooth val="0"/>
        </c:ser>
        <c:axId val="349230006"/>
        <c:axId val="116908603"/>
      </c:lineChart>
      <c:catAx>
        <c:axId val="349230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908603"/>
      </c:catAx>
      <c:valAx>
        <c:axId val="11690860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Aggregate Losses (billions)</a:t>
                </a:r>
              </a:p>
            </c:rich>
          </c:tx>
          <c:layout>
            <c:manualLayout>
              <c:xMode val="edge"/>
              <c:yMode val="edge"/>
              <c:x val="0.0014761973562311638"/>
              <c:y val="0.33648705404762286"/>
            </c:manualLayout>
          </c:layout>
          <c:overlay val="0"/>
        </c:title>
        <c:numFmt formatCode="_(* #,##0.0_);_(* \(#,##0.0\);_(* &quot;-&quot;?_);_(@_)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349230006"/>
        <c:minorUnit val="0.4"/>
      </c:valAx>
    </c:plotArea>
    <c:legend>
      <c:legendPos val="b"/>
      <c:layout>
        <c:manualLayout>
          <c:xMode val="edge"/>
          <c:yMode val="edge"/>
          <c:x val="0.3600080786382518"/>
          <c:y val="0.938019448794371"/>
        </c:manualLayout>
      </c:layout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Business Interruptions: Projected Aggregate Loss and Profit Margins</a:t>
            </a:r>
          </a:p>
        </c:rich>
      </c:tx>
      <c:layout>
        <c:manualLayout>
          <c:xMode val="edge"/>
          <c:yMode val="edge"/>
          <c:x val="0.25531826386325646"/>
          <c:y val="0.018530079443555555"/>
        </c:manualLayout>
      </c:layout>
      <c:overlay val="0"/>
    </c:title>
    <c:plotArea>
      <c:layout>
        <c:manualLayout>
          <c:xMode val="edge"/>
          <c:yMode val="edge"/>
          <c:x val="0.06886487369234597"/>
          <c:y val="0.09762083163629617"/>
          <c:w val="0.8806591160795687"/>
          <c:h val="0.7865731456695239"/>
        </c:manualLayout>
      </c:layout>
      <c:barChart>
        <c:barDir val="col"/>
        <c:ser>
          <c:idx val="0"/>
          <c:order val="0"/>
          <c:tx>
            <c:v>Aggregate Loss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'BusinessFINAL (2)'!$C$49:$M$49</c:f>
            </c:strRef>
          </c:cat>
          <c:val>
            <c:numRef>
              <c:f>'BusinessFINAL (2)'!$C$50:$M$50</c:f>
              <c:numCache/>
            </c:numRef>
          </c:val>
        </c:ser>
        <c:axId val="398494346"/>
        <c:axId val="1643401483"/>
      </c:barChart>
      <c:lineChart>
        <c:varyColors val="0"/>
        <c:ser>
          <c:idx val="1"/>
          <c:order val="1"/>
          <c:tx>
            <c:v>Profit Margin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'BusinessFINAL (2)'!$C$49:$M$49</c:f>
            </c:strRef>
          </c:cat>
          <c:val>
            <c:numRef>
              <c:f>'BusinessFINAL (2)'!$C$51:$M$51</c:f>
              <c:numCache/>
            </c:numRef>
          </c:val>
          <c:smooth val="0"/>
        </c:ser>
        <c:axId val="398494346"/>
        <c:axId val="1643401483"/>
      </c:lineChart>
      <c:catAx>
        <c:axId val="398494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3401483"/>
      </c:catAx>
      <c:valAx>
        <c:axId val="1643401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Aggregate Losses (billions)</a:t>
                </a:r>
              </a:p>
            </c:rich>
          </c:tx>
          <c:layout>
            <c:manualLayout>
              <c:xMode val="edge"/>
              <c:yMode val="edge"/>
              <c:x val="0.004019795681345751"/>
              <c:y val="0.3407775731616191"/>
            </c:manualLayout>
          </c:layout>
          <c:overlay val="0"/>
        </c:title>
        <c:numFmt formatCode="_(* #,##0.0_);_(* \(#,##0.0\);_(* &quot;-&quot;?_);_(@_)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398494346"/>
      </c:valAx>
    </c:plotArea>
    <c:legend>
      <c:legendPos val="b"/>
      <c:layout>
        <c:manualLayout>
          <c:xMode val="edge"/>
          <c:yMode val="edge"/>
          <c:x val="0.3696153264652994"/>
          <c:y val="0.9405750422295742"/>
        </c:manualLayout>
      </c:layout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Workers' Compensation: Projected Aggregate Loss and Profit Margins</a:t>
            </a:r>
          </a:p>
        </c:rich>
      </c:tx>
      <c:layout>
        <c:manualLayout>
          <c:xMode val="edge"/>
          <c:yMode val="edge"/>
          <c:x val="0.25924701457619265"/>
          <c:y val="0.02578517416466478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Aggregate Loss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'Workers Comp (2)'!$C$69:$M$69</c:f>
            </c:strRef>
          </c:cat>
          <c:val>
            <c:numRef>
              <c:f>'Workers Comp (2)'!$C$70:$M$70</c:f>
              <c:numCache/>
            </c:numRef>
          </c:val>
        </c:ser>
        <c:axId val="426982079"/>
        <c:axId val="2030174115"/>
      </c:barChart>
      <c:lineChart>
        <c:varyColors val="0"/>
        <c:ser>
          <c:idx val="1"/>
          <c:order val="1"/>
          <c:tx>
            <c:v>Profit Margin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'Workers Comp (2)'!$C$69:$M$69</c:f>
            </c:strRef>
          </c:cat>
          <c:val>
            <c:numRef>
              <c:f>'Workers Comp (2)'!$C$71:$M$71</c:f>
              <c:numCache/>
            </c:numRef>
          </c:val>
          <c:smooth val="0"/>
        </c:ser>
        <c:axId val="426982079"/>
        <c:axId val="2030174115"/>
      </c:lineChart>
      <c:catAx>
        <c:axId val="426982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0174115"/>
      </c:catAx>
      <c:valAx>
        <c:axId val="2030174115"/>
        <c:scaling>
          <c:orientation val="minMax"/>
          <c:max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Agrgregate Loss (millions)</a:t>
                </a:r>
              </a:p>
            </c:rich>
          </c:tx>
          <c:layout>
            <c:manualLayout>
              <c:xMode val="edge"/>
              <c:yMode val="edge"/>
              <c:x val="0.006584722986407265"/>
              <c:y val="0.36471077044744854"/>
            </c:manualLayout>
          </c:layout>
          <c:overlay val="0"/>
        </c:title>
        <c:numFmt formatCode="0.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426982079"/>
        <c:minorUnit val="1.0"/>
      </c:valAx>
    </c:plotArea>
    <c:legend>
      <c:legendPos val="b"/>
      <c:layout>
        <c:manualLayout>
          <c:xMode val="edge"/>
          <c:yMode val="edge"/>
          <c:x val="0.3747980455048371"/>
          <c:y val="0.944770356513457"/>
        </c:manualLayout>
      </c:layout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Equipment Failure: Projected Aggregate Loss and Profit Margins</a:t>
            </a:r>
          </a:p>
        </c:rich>
      </c:tx>
      <c:layout>
        <c:manualLayout>
          <c:xMode val="edge"/>
          <c:yMode val="edge"/>
          <c:x val="0.19549170430044963"/>
          <c:y val="0.027500701767167582"/>
        </c:manualLayout>
      </c:layout>
      <c:overlay val="0"/>
    </c:title>
    <c:plotArea>
      <c:layout>
        <c:manualLayout>
          <c:xMode val="edge"/>
          <c:yMode val="edge"/>
          <c:x val="0.0889932777102754"/>
          <c:y val="0.11213513166675833"/>
          <c:w val="0.8364310034799518"/>
          <c:h val="0.7487933057007303"/>
        </c:manualLayout>
      </c:layout>
      <c:barChart>
        <c:barDir val="col"/>
        <c:ser>
          <c:idx val="0"/>
          <c:order val="0"/>
          <c:tx>
            <c:v>Aggregate Loss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'Equipment (2)'!$C$59:$M$59</c:f>
            </c:strRef>
          </c:cat>
          <c:val>
            <c:numRef>
              <c:f>'Equipment (2)'!$C$60:$M$60</c:f>
              <c:numCache/>
            </c:numRef>
          </c:val>
        </c:ser>
        <c:axId val="736237675"/>
        <c:axId val="467826579"/>
      </c:barChart>
      <c:lineChart>
        <c:varyColors val="0"/>
        <c:ser>
          <c:idx val="1"/>
          <c:order val="1"/>
          <c:tx>
            <c:v>Profit Margin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'Equipment (2)'!$C$59:$M$59</c:f>
            </c:strRef>
          </c:cat>
          <c:val>
            <c:numRef>
              <c:f>'Equipment (2)'!$C$61:$M$61</c:f>
              <c:numCache/>
            </c:numRef>
          </c:val>
          <c:smooth val="0"/>
        </c:ser>
        <c:axId val="736237675"/>
        <c:axId val="467826579"/>
      </c:lineChart>
      <c:catAx>
        <c:axId val="7362376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7826579"/>
      </c:catAx>
      <c:valAx>
        <c:axId val="467826579"/>
        <c:scaling>
          <c:orientation val="minMax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Aggregate Loss (millions)</a:t>
                </a:r>
              </a:p>
            </c:rich>
          </c:tx>
          <c:layout>
            <c:manualLayout>
              <c:xMode val="edge"/>
              <c:yMode val="edge"/>
              <c:x val="0.008828836118865887"/>
              <c:y val="0.3270601657908565"/>
            </c:manualLayout>
          </c:layout>
          <c:overlay val="0"/>
        </c:title>
        <c:numFmt formatCode="_(* #,##0.0_);_(* \(#,##0.0\);_(* &quot;-&quot;?_);_(@_)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6237675"/>
        <c:minorUnit val="1.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Workers' Compensation: Projected Aggregate Loss and Profit Margins</a:t>
            </a:r>
          </a:p>
        </c:rich>
      </c:tx>
      <c:layout>
        <c:manualLayout>
          <c:xMode val="edge"/>
          <c:yMode val="edge"/>
          <c:x val="0.25924701457619265"/>
          <c:y val="0.02578517416466478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Aggregate Loss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'Workers Comp'!$C$62:$M$62</c:f>
            </c:strRef>
          </c:cat>
          <c:val>
            <c:numRef>
              <c:f>'Workers Comp'!$C$63:$M$63</c:f>
              <c:numCache/>
            </c:numRef>
          </c:val>
        </c:ser>
        <c:axId val="1956901665"/>
        <c:axId val="1021889984"/>
      </c:barChart>
      <c:lineChart>
        <c:varyColors val="0"/>
        <c:ser>
          <c:idx val="1"/>
          <c:order val="1"/>
          <c:tx>
            <c:v>Profit Margin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'Workers Comp'!$C$62:$M$62</c:f>
            </c:strRef>
          </c:cat>
          <c:val>
            <c:numRef>
              <c:f>'Workers Comp'!$C$64:$M$64</c:f>
              <c:numCache/>
            </c:numRef>
          </c:val>
          <c:smooth val="0"/>
        </c:ser>
        <c:axId val="1956901665"/>
        <c:axId val="1021889984"/>
      </c:lineChart>
      <c:catAx>
        <c:axId val="1956901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1889984"/>
      </c:catAx>
      <c:valAx>
        <c:axId val="1021889984"/>
        <c:scaling>
          <c:orientation val="minMax"/>
          <c:max val="8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Agrgregate Loss (millions)</a:t>
                </a:r>
              </a:p>
            </c:rich>
          </c:tx>
          <c:layout>
            <c:manualLayout>
              <c:xMode val="edge"/>
              <c:yMode val="edge"/>
              <c:x val="0.006584722986407265"/>
              <c:y val="0.36471077044744854"/>
            </c:manualLayout>
          </c:layout>
          <c:overlay val="0"/>
        </c:title>
        <c:numFmt formatCode="0.0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956901665"/>
        <c:minorUnit val="1.0"/>
      </c:valAx>
    </c:plotArea>
    <c:legend>
      <c:legendPos val="b"/>
      <c:layout>
        <c:manualLayout>
          <c:xMode val="edge"/>
          <c:yMode val="edge"/>
          <c:x val="0.3747980455048371"/>
          <c:y val="0.944770356513457"/>
        </c:manualLayout>
      </c:layout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Equipment Failure: Projected Aggregate Loss and Profit Margins</a:t>
            </a:r>
          </a:p>
        </c:rich>
      </c:tx>
      <c:layout>
        <c:manualLayout>
          <c:xMode val="edge"/>
          <c:yMode val="edge"/>
          <c:x val="0.19549170430044963"/>
          <c:y val="0.027500701767167582"/>
        </c:manualLayout>
      </c:layout>
      <c:overlay val="0"/>
    </c:title>
    <c:plotArea>
      <c:layout>
        <c:manualLayout>
          <c:xMode val="edge"/>
          <c:yMode val="edge"/>
          <c:x val="0.0889932777102754"/>
          <c:y val="0.11213513166675833"/>
          <c:w val="0.8364310034799518"/>
          <c:h val="0.7487933057007303"/>
        </c:manualLayout>
      </c:layout>
      <c:barChart>
        <c:barDir val="col"/>
        <c:ser>
          <c:idx val="0"/>
          <c:order val="0"/>
          <c:tx>
            <c:v>Aggregate Loss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Equipment!$C$51:$M$51</c:f>
            </c:strRef>
          </c:cat>
          <c:val>
            <c:numRef>
              <c:f>Equipment!$C$52:$M$52</c:f>
              <c:numCache/>
            </c:numRef>
          </c:val>
        </c:ser>
        <c:axId val="1920132304"/>
        <c:axId val="1513564234"/>
      </c:barChart>
      <c:lineChart>
        <c:varyColors val="0"/>
        <c:ser>
          <c:idx val="1"/>
          <c:order val="1"/>
          <c:tx>
            <c:v>Profit Margin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Equipment!$C$51:$M$51</c:f>
            </c:strRef>
          </c:cat>
          <c:val>
            <c:numRef>
              <c:f>Equipment!$C$53:$M$53</c:f>
              <c:numCache/>
            </c:numRef>
          </c:val>
          <c:smooth val="0"/>
        </c:ser>
        <c:axId val="1920132304"/>
        <c:axId val="1513564234"/>
      </c:lineChart>
      <c:catAx>
        <c:axId val="1920132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13564234"/>
      </c:catAx>
      <c:valAx>
        <c:axId val="1513564234"/>
        <c:scaling>
          <c:orientation val="minMax"/>
          <c:min val="4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Aggregate Loss (millions)</a:t>
                </a:r>
              </a:p>
            </c:rich>
          </c:tx>
          <c:layout>
            <c:manualLayout>
              <c:xMode val="edge"/>
              <c:yMode val="edge"/>
              <c:x val="0.008828836118865887"/>
              <c:y val="0.3270601657908565"/>
            </c:manualLayout>
          </c:layout>
          <c:overlay val="0"/>
        </c:title>
        <c:numFmt formatCode="_(* #,##0.0_);_(* \(#,##0.0\);_(* &quot;-&quot;?_);_(@_)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20132304"/>
        <c:minorUnit val="1.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Cargo Loss Type A: Projected Aggregate Loss and Profit Margins</a:t>
            </a:r>
          </a:p>
        </c:rich>
      </c:tx>
      <c:layout>
        <c:manualLayout>
          <c:xMode val="edge"/>
          <c:yMode val="edge"/>
          <c:x val="0.2983052010878421"/>
          <c:y val="0.019911500956117874"/>
        </c:manualLayout>
      </c:layout>
      <c:overlay val="0"/>
    </c:title>
    <c:plotArea>
      <c:layout>
        <c:manualLayout>
          <c:xMode val="edge"/>
          <c:yMode val="edge"/>
          <c:x val="0.07179580017774129"/>
          <c:y val="0.08240793977351027"/>
          <c:w val="0.8798681477699449"/>
          <c:h val="0.8287213838962799"/>
        </c:manualLayout>
      </c:layout>
      <c:barChart>
        <c:barDir val="col"/>
        <c:ser>
          <c:idx val="0"/>
          <c:order val="0"/>
          <c:tx>
            <c:v>Aggregate Loss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'Cargo Type A'!$C$40:$M$40</c:f>
            </c:strRef>
          </c:cat>
          <c:val>
            <c:numRef>
              <c:f>'Cargo Type A'!$C$41:$M$41</c:f>
              <c:numCache/>
            </c:numRef>
          </c:val>
        </c:ser>
        <c:axId val="1331534286"/>
        <c:axId val="2134894148"/>
      </c:barChart>
      <c:lineChart>
        <c:varyColors val="0"/>
        <c:ser>
          <c:idx val="1"/>
          <c:order val="1"/>
          <c:tx>
            <c:v>Profit Margin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'Cargo Type A'!$C$40:$M$40</c:f>
            </c:strRef>
          </c:cat>
          <c:val>
            <c:numRef>
              <c:f>'Cargo Type A'!$C$42:$M$42</c:f>
              <c:numCache/>
            </c:numRef>
          </c:val>
          <c:smooth val="0"/>
        </c:ser>
        <c:axId val="1331534286"/>
        <c:axId val="2134894148"/>
      </c:lineChart>
      <c:catAx>
        <c:axId val="1331534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4894148"/>
      </c:catAx>
      <c:valAx>
        <c:axId val="2134894148"/>
        <c:scaling>
          <c:orientation val="minMax"/>
          <c:max val="4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Aggregate Losses (billions)</a:t>
                </a:r>
              </a:p>
            </c:rich>
          </c:tx>
          <c:layout>
            <c:manualLayout>
              <c:xMode val="edge"/>
              <c:yMode val="edge"/>
              <c:x val="0.006415011652590851"/>
              <c:y val="0.36559044209275365"/>
            </c:manualLayout>
          </c:layout>
          <c:overlay val="0"/>
        </c:title>
        <c:numFmt formatCode="_(* #,##0.0_);_(* \(#,##0.0\);_(* &quot;-&quot;?_);_(@_)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331534286"/>
      </c:valAx>
    </c:plotArea>
    <c:legend>
      <c:legendPos val="b"/>
      <c:layout>
        <c:manualLayout>
          <c:xMode val="edge"/>
          <c:yMode val="edge"/>
          <c:x val="0.38678863425033166"/>
          <c:y val="0.9535470956462319"/>
        </c:manualLayout>
      </c:layout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Cargo Loss Type B: Projected Aggregate Loss and Profit Margins</a:t>
            </a:r>
          </a:p>
        </c:rich>
      </c:tx>
      <c:overlay val="0"/>
    </c:title>
    <c:plotArea>
      <c:layout>
        <c:manualLayout>
          <c:xMode val="edge"/>
          <c:yMode val="edge"/>
          <c:x val="0.073953356710822"/>
          <c:y val="0.10193677270922004"/>
          <c:w val="0.8707653913033433"/>
          <c:h val="0.7798860034434882"/>
        </c:manualLayout>
      </c:layout>
      <c:barChart>
        <c:barDir val="col"/>
        <c:ser>
          <c:idx val="0"/>
          <c:order val="0"/>
          <c:tx>
            <c:v>Aggregate Loss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'Cargo Type B'!$C$40:$M$40</c:f>
            </c:strRef>
          </c:cat>
          <c:val>
            <c:numRef>
              <c:f>'Cargo Type B'!$C$41:$M$41</c:f>
              <c:numCache/>
            </c:numRef>
          </c:val>
        </c:ser>
        <c:axId val="818117084"/>
        <c:axId val="490507037"/>
      </c:barChart>
      <c:lineChart>
        <c:varyColors val="0"/>
        <c:ser>
          <c:idx val="1"/>
          <c:order val="1"/>
          <c:tx>
            <c:v>Profit Margin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'Cargo Type B'!$C$40:$M$40</c:f>
            </c:strRef>
          </c:cat>
          <c:val>
            <c:numRef>
              <c:f>'Cargo Type B'!$C$42:$M$42</c:f>
              <c:numCache/>
            </c:numRef>
          </c:val>
          <c:smooth val="0"/>
        </c:ser>
        <c:axId val="818117084"/>
        <c:axId val="490507037"/>
      </c:lineChart>
      <c:catAx>
        <c:axId val="818117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0507037"/>
      </c:catAx>
      <c:valAx>
        <c:axId val="49050703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Aggregate Losses (billions)</a:t>
                </a:r>
              </a:p>
            </c:rich>
          </c:tx>
          <c:layout>
            <c:manualLayout>
              <c:xMode val="edge"/>
              <c:yMode val="edge"/>
              <c:x val="0.0014761973562311638"/>
              <c:y val="0.33648705404762286"/>
            </c:manualLayout>
          </c:layout>
          <c:overlay val="0"/>
        </c:title>
        <c:numFmt formatCode="_(* #,##0.0_);_(* \(#,##0.0\);_(* &quot;-&quot;?_);_(@_)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818117084"/>
        <c:minorUnit val="0.4"/>
      </c:valAx>
    </c:plotArea>
    <c:legend>
      <c:legendPos val="b"/>
      <c:layout>
        <c:manualLayout>
          <c:xMode val="edge"/>
          <c:yMode val="edge"/>
          <c:x val="0.3600080786382518"/>
          <c:y val="0.938019448794371"/>
        </c:manualLayout>
      </c:layout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Business Interruptions: Projected Aggregate Loss and Profit Margins</a:t>
            </a:r>
          </a:p>
        </c:rich>
      </c:tx>
      <c:layout>
        <c:manualLayout>
          <c:xMode val="edge"/>
          <c:yMode val="edge"/>
          <c:x val="0.25531826386325646"/>
          <c:y val="0.018530079443555555"/>
        </c:manualLayout>
      </c:layout>
      <c:overlay val="0"/>
    </c:title>
    <c:plotArea>
      <c:layout>
        <c:manualLayout>
          <c:xMode val="edge"/>
          <c:yMode val="edge"/>
          <c:x val="0.06886487369234597"/>
          <c:y val="0.09762083163629617"/>
          <c:w val="0.8806591160795687"/>
          <c:h val="0.7865731456695239"/>
        </c:manualLayout>
      </c:layout>
      <c:barChart>
        <c:barDir val="col"/>
        <c:ser>
          <c:idx val="0"/>
          <c:order val="0"/>
          <c:tx>
            <c:v>Aggregate Loss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BusinessFINAL!$C$40:$M$40</c:f>
            </c:strRef>
          </c:cat>
          <c:val>
            <c:numRef>
              <c:f>BusinessFINAL!$C$41:$M$41</c:f>
              <c:numCache/>
            </c:numRef>
          </c:val>
        </c:ser>
        <c:axId val="625697724"/>
        <c:axId val="1187514470"/>
      </c:barChart>
      <c:lineChart>
        <c:varyColors val="0"/>
        <c:ser>
          <c:idx val="1"/>
          <c:order val="1"/>
          <c:tx>
            <c:v>Profit Margin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BusinessFINAL!$C$40:$M$40</c:f>
            </c:strRef>
          </c:cat>
          <c:val>
            <c:numRef>
              <c:f>BusinessFINAL!$C$42:$M$42</c:f>
              <c:numCache/>
            </c:numRef>
          </c:val>
          <c:smooth val="0"/>
        </c:ser>
        <c:axId val="625697724"/>
        <c:axId val="1187514470"/>
      </c:lineChart>
      <c:catAx>
        <c:axId val="625697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7514470"/>
      </c:catAx>
      <c:valAx>
        <c:axId val="1187514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Aggregate Losses (billions)</a:t>
                </a:r>
              </a:p>
            </c:rich>
          </c:tx>
          <c:layout>
            <c:manualLayout>
              <c:xMode val="edge"/>
              <c:yMode val="edge"/>
              <c:x val="0.004019795681345751"/>
              <c:y val="0.3407775731616191"/>
            </c:manualLayout>
          </c:layout>
          <c:overlay val="0"/>
        </c:title>
        <c:numFmt formatCode="_(* #,##0.0_);_(* \(#,##0.0\);_(* &quot;-&quot;?_);_(@_)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625697724"/>
      </c:valAx>
    </c:plotArea>
    <c:legend>
      <c:legendPos val="b"/>
      <c:layout>
        <c:manualLayout>
          <c:xMode val="edge"/>
          <c:yMode val="edge"/>
          <c:x val="0.3696153264652994"/>
          <c:y val="0.9405750422295742"/>
        </c:manualLayout>
      </c:layout>
      <c:overlay val="0"/>
      <c:txPr>
        <a:bodyPr/>
        <a:lstStyle/>
        <a:p>
          <a:pPr lvl="0">
            <a:defRPr b="0" i="0" sz="11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50</xdr:row>
      <xdr:rowOff>200025</xdr:rowOff>
    </xdr:from>
    <xdr:ext cx="9705975" cy="4543425"/>
    <xdr:graphicFrame>
      <xdr:nvGraphicFramePr>
        <xdr:cNvPr id="205054697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752475</xdr:colOff>
      <xdr:row>66</xdr:row>
      <xdr:rowOff>19050</xdr:rowOff>
    </xdr:from>
    <xdr:ext cx="11068050" cy="4886325"/>
    <xdr:graphicFrame>
      <xdr:nvGraphicFramePr>
        <xdr:cNvPr id="53056610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72</xdr:row>
      <xdr:rowOff>200025</xdr:rowOff>
    </xdr:from>
    <xdr:ext cx="13296900" cy="5153025"/>
    <xdr:graphicFrame>
      <xdr:nvGraphicFramePr>
        <xdr:cNvPr id="100178095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609600</xdr:colOff>
      <xdr:row>63</xdr:row>
      <xdr:rowOff>190500</xdr:rowOff>
    </xdr:from>
    <xdr:ext cx="8258175" cy="4133850"/>
    <xdr:graphicFrame>
      <xdr:nvGraphicFramePr>
        <xdr:cNvPr id="150182848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65</xdr:row>
      <xdr:rowOff>200025</xdr:rowOff>
    </xdr:from>
    <xdr:ext cx="13296900" cy="5153025"/>
    <xdr:graphicFrame>
      <xdr:nvGraphicFramePr>
        <xdr:cNvPr id="3998558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609600</xdr:colOff>
      <xdr:row>55</xdr:row>
      <xdr:rowOff>190500</xdr:rowOff>
    </xdr:from>
    <xdr:ext cx="8258175" cy="4133850"/>
    <xdr:graphicFrame>
      <xdr:nvGraphicFramePr>
        <xdr:cNvPr id="167073953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266700</xdr:colOff>
      <xdr:row>45</xdr:row>
      <xdr:rowOff>85725</xdr:rowOff>
    </xdr:from>
    <xdr:ext cx="11039475" cy="5648325"/>
    <xdr:graphicFrame>
      <xdr:nvGraphicFramePr>
        <xdr:cNvPr id="6973309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</xdr:colOff>
      <xdr:row>43</xdr:row>
      <xdr:rowOff>200025</xdr:rowOff>
    </xdr:from>
    <xdr:ext cx="9705975" cy="4543425"/>
    <xdr:graphicFrame>
      <xdr:nvGraphicFramePr>
        <xdr:cNvPr id="64389019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752475</xdr:colOff>
      <xdr:row>57</xdr:row>
      <xdr:rowOff>19050</xdr:rowOff>
    </xdr:from>
    <xdr:ext cx="11068050" cy="4886325"/>
    <xdr:graphicFrame>
      <xdr:nvGraphicFramePr>
        <xdr:cNvPr id="1077074346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1.22" defaultRowHeight="15.0"/>
  <cols>
    <col customWidth="1" min="1" max="1" width="32.11"/>
    <col customWidth="1" min="2" max="2" width="20.11"/>
    <col customWidth="1" min="3" max="3" width="20.78"/>
    <col customWidth="1" min="4" max="8" width="19.78"/>
    <col customWidth="1" min="9" max="9" width="21.33"/>
    <col customWidth="1" min="10" max="10" width="24.11"/>
    <col customWidth="1" min="11" max="11" width="23.67"/>
    <col customWidth="1" min="12" max="12" width="25.11"/>
    <col customWidth="1" min="13" max="13" width="24.67"/>
    <col customWidth="1" min="14" max="26" width="10.5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3" t="s">
        <v>0</v>
      </c>
      <c r="C3" s="3" t="s">
        <v>1</v>
      </c>
      <c r="D3" s="3" t="s">
        <v>2</v>
      </c>
      <c r="E3" s="4"/>
      <c r="F3" s="4"/>
      <c r="G3" s="2"/>
      <c r="H3" s="2"/>
      <c r="I3" s="2"/>
      <c r="J3" s="2"/>
      <c r="K3" s="2" t="s">
        <v>3</v>
      </c>
      <c r="L3" s="2" t="s">
        <v>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5</v>
      </c>
      <c r="B4" s="5">
        <v>8383834.0</v>
      </c>
      <c r="C4" s="6">
        <v>0.04</v>
      </c>
      <c r="D4" s="6">
        <v>0.1</v>
      </c>
      <c r="E4" s="7"/>
      <c r="F4" s="7"/>
      <c r="G4" s="2"/>
      <c r="H4" s="2"/>
      <c r="I4" s="2"/>
      <c r="J4" s="2"/>
      <c r="K4" s="2" t="s">
        <v>6</v>
      </c>
      <c r="L4" s="2" t="s">
        <v>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/>
      <c r="B5" s="5"/>
      <c r="C5" s="6"/>
      <c r="D5" s="6"/>
      <c r="E5" s="7"/>
      <c r="F5" s="7"/>
      <c r="G5" s="2"/>
      <c r="H5" s="2"/>
      <c r="I5" s="2"/>
      <c r="J5" s="2"/>
      <c r="K5" s="2" t="s">
        <v>8</v>
      </c>
      <c r="L5" s="2" t="s">
        <v>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/>
      <c r="B6" s="5"/>
      <c r="C6" s="6"/>
      <c r="D6" s="6"/>
      <c r="E6" s="7"/>
      <c r="F6" s="7"/>
      <c r="G6" s="2"/>
      <c r="H6" s="2"/>
      <c r="I6" s="2"/>
      <c r="J6" s="2"/>
      <c r="K6" s="2" t="s">
        <v>10</v>
      </c>
      <c r="L6" s="2" t="s">
        <v>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>
        <v>2175.0</v>
      </c>
      <c r="B7" s="5"/>
      <c r="C7" s="8" t="s">
        <v>12</v>
      </c>
      <c r="D7" s="6"/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13</v>
      </c>
      <c r="B8" s="7">
        <f>B12/B4</f>
        <v>969.8436044</v>
      </c>
      <c r="C8" s="7"/>
      <c r="D8" s="6"/>
      <c r="E8" s="7"/>
      <c r="F8" s="9">
        <v>0.051006368421052765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14</v>
      </c>
      <c r="B9" s="7">
        <f>B8/(1-C4-D4)</f>
        <v>1127.725121</v>
      </c>
      <c r="C9" s="7">
        <f>B9*B4</f>
        <v>9454660215</v>
      </c>
      <c r="D9" s="6"/>
      <c r="E9" s="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/>
      <c r="B10" s="10"/>
      <c r="C10" s="1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15</v>
      </c>
      <c r="B12" s="10">
        <v>8.131007785E9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16</v>
      </c>
      <c r="B13" s="10">
        <f>C9</f>
        <v>9454660215</v>
      </c>
      <c r="C13" s="10">
        <f>B13*F8</f>
        <v>482247882.2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17</v>
      </c>
      <c r="B14" s="10">
        <f>(B13+C13)-B12</f>
        <v>1805900312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 t="s">
        <v>18</v>
      </c>
      <c r="B15" s="11">
        <f>B14/B13</f>
        <v>0.1910063684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19</v>
      </c>
      <c r="B18" s="12" t="s">
        <v>20</v>
      </c>
      <c r="C18" s="1" t="s">
        <v>21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22</v>
      </c>
      <c r="B19" s="13">
        <v>0.25</v>
      </c>
      <c r="C19" s="14">
        <f t="shared" ref="C19:C21" si="1">B19/10</f>
        <v>0.025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23</v>
      </c>
      <c r="B20" s="13">
        <v>0.25</v>
      </c>
      <c r="C20" s="14">
        <f t="shared" si="1"/>
        <v>0.025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24</v>
      </c>
      <c r="B21" s="13">
        <v>0.15</v>
      </c>
      <c r="C21" s="14">
        <f t="shared" si="1"/>
        <v>0.015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3"/>
      <c r="C22" s="14">
        <f>AVERAGE(C19:C21)</f>
        <v>0.02166666667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25</v>
      </c>
      <c r="B24" s="15">
        <v>2176.0</v>
      </c>
      <c r="C24" s="15">
        <v>2177.0</v>
      </c>
      <c r="D24" s="15">
        <f t="shared" ref="D24:L24" si="2">C24+1</f>
        <v>2178</v>
      </c>
      <c r="E24" s="15">
        <f t="shared" si="2"/>
        <v>2179</v>
      </c>
      <c r="F24" s="15">
        <f t="shared" si="2"/>
        <v>2180</v>
      </c>
      <c r="G24" s="15">
        <f t="shared" si="2"/>
        <v>2181</v>
      </c>
      <c r="H24" s="15">
        <f t="shared" si="2"/>
        <v>2182</v>
      </c>
      <c r="I24" s="15">
        <f t="shared" si="2"/>
        <v>2183</v>
      </c>
      <c r="J24" s="15">
        <f t="shared" si="2"/>
        <v>2184</v>
      </c>
      <c r="K24" s="15">
        <f t="shared" si="2"/>
        <v>2185</v>
      </c>
      <c r="L24" s="15">
        <f t="shared" si="2"/>
        <v>2186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26</v>
      </c>
      <c r="B25" s="11">
        <v>0.0371</v>
      </c>
      <c r="C25" s="11">
        <v>0.0295</v>
      </c>
      <c r="D25" s="11">
        <v>0.0302</v>
      </c>
      <c r="E25" s="11">
        <v>0.0323</v>
      </c>
      <c r="F25" s="11">
        <v>0.0307</v>
      </c>
      <c r="G25" s="11">
        <v>0.031</v>
      </c>
      <c r="H25" s="11">
        <v>0.0313</v>
      </c>
      <c r="I25" s="11">
        <v>0.031</v>
      </c>
      <c r="J25" s="11">
        <v>0.0311</v>
      </c>
      <c r="K25" s="11">
        <v>0.0312</v>
      </c>
      <c r="L25" s="11">
        <v>0.0311</v>
      </c>
      <c r="M25" s="1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27</v>
      </c>
      <c r="B26" s="11">
        <v>0.0376</v>
      </c>
      <c r="C26" s="11">
        <v>0.0422</v>
      </c>
      <c r="D26" s="11">
        <v>0.0444</v>
      </c>
      <c r="E26" s="11">
        <v>0.0446</v>
      </c>
      <c r="F26" s="11">
        <v>0.044</v>
      </c>
      <c r="G26" s="11">
        <v>0.0426</v>
      </c>
      <c r="H26" s="11">
        <v>0.0436</v>
      </c>
      <c r="I26" s="11">
        <v>0.0438</v>
      </c>
      <c r="J26" s="11">
        <v>0.0437</v>
      </c>
      <c r="K26" s="11">
        <v>0.0435</v>
      </c>
      <c r="L26" s="11">
        <v>0.0434</v>
      </c>
      <c r="M26" s="1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28</v>
      </c>
      <c r="B27" s="16">
        <v>6.507638129E9</v>
      </c>
      <c r="C27" s="10">
        <v>9.067616700921469E9</v>
      </c>
      <c r="D27" s="10">
        <v>9.546970817245663E9</v>
      </c>
      <c r="E27" s="10">
        <v>1.0072155410084837E10</v>
      </c>
      <c r="F27" s="10">
        <v>1.0609760733960278E10</v>
      </c>
      <c r="G27" s="10">
        <v>1.1179313909680733E10</v>
      </c>
      <c r="H27" s="10">
        <v>1.1782869416624924E10</v>
      </c>
      <c r="I27" s="10">
        <v>1.2415397412648182E10</v>
      </c>
      <c r="J27" s="10">
        <v>1.3083149630169533E10</v>
      </c>
      <c r="K27" s="10">
        <v>1.37881534644007E10</v>
      </c>
      <c r="L27" s="10">
        <v>1.4529738267960718E10</v>
      </c>
      <c r="M27" s="1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29</v>
      </c>
      <c r="B28" s="10">
        <v>8.618186873647617E9</v>
      </c>
      <c r="C28" s="10">
        <v>9.067616700921469E9</v>
      </c>
      <c r="D28" s="10">
        <v>9.546970817245663E9</v>
      </c>
      <c r="E28" s="10">
        <v>1.0072155410084837E10</v>
      </c>
      <c r="F28" s="10">
        <v>1.0609760733960278E10</v>
      </c>
      <c r="G28" s="10">
        <v>1.1179313909680733E10</v>
      </c>
      <c r="H28" s="10">
        <v>1.1782869416624924E10</v>
      </c>
      <c r="I28" s="10">
        <v>1.2415397412648182E10</v>
      </c>
      <c r="J28" s="10">
        <v>1.3083149630169533E10</v>
      </c>
      <c r="K28" s="10">
        <v>1.37881534644007E10</v>
      </c>
      <c r="L28" s="10">
        <v>1.4529738267960718E10</v>
      </c>
      <c r="M28" s="1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30</v>
      </c>
      <c r="B29" s="10">
        <v>1.2191243709E10</v>
      </c>
      <c r="C29" s="10">
        <v>9.067616700921469E9</v>
      </c>
      <c r="D29" s="10">
        <v>9.546970817245663E9</v>
      </c>
      <c r="E29" s="10">
        <v>1.0072155410084837E10</v>
      </c>
      <c r="F29" s="10">
        <v>1.0609760733960278E10</v>
      </c>
      <c r="G29" s="10">
        <v>1.1179313909680733E10</v>
      </c>
      <c r="H29" s="10">
        <v>1.1782869416624924E10</v>
      </c>
      <c r="I29" s="10">
        <v>1.2415397412648182E10</v>
      </c>
      <c r="J29" s="10">
        <v>1.3083149630169533E10</v>
      </c>
      <c r="K29" s="10">
        <v>1.37881534644007E10</v>
      </c>
      <c r="L29" s="10">
        <v>1.4529738267960718E10</v>
      </c>
      <c r="M29" s="1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31</v>
      </c>
      <c r="B30" s="10">
        <v>1.8286865564E10</v>
      </c>
      <c r="C30" s="10">
        <v>9.067616700921469E9</v>
      </c>
      <c r="D30" s="10">
        <v>9.546970817245663E9</v>
      </c>
      <c r="E30" s="10">
        <v>1.0072155410084837E10</v>
      </c>
      <c r="F30" s="10">
        <v>1.0609760733960278E10</v>
      </c>
      <c r="G30" s="10">
        <v>1.1179313909680733E10</v>
      </c>
      <c r="H30" s="10">
        <v>1.1782869416624924E10</v>
      </c>
      <c r="I30" s="10">
        <v>1.2415397412648182E10</v>
      </c>
      <c r="J30" s="10">
        <v>1.3083149630169533E10</v>
      </c>
      <c r="K30" s="10">
        <v>1.37881534644007E10</v>
      </c>
      <c r="L30" s="10">
        <v>1.4529738267960718E10</v>
      </c>
      <c r="M30" s="1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32</v>
      </c>
      <c r="B31" s="2">
        <f>B4</f>
        <v>8383834</v>
      </c>
      <c r="C31" s="2">
        <f t="shared" ref="C31:L31" si="3">B31*(1+0.5%)</f>
        <v>8425753.17</v>
      </c>
      <c r="D31" s="2">
        <f t="shared" si="3"/>
        <v>8467881.936</v>
      </c>
      <c r="E31" s="2">
        <f t="shared" si="3"/>
        <v>8510221.346</v>
      </c>
      <c r="F31" s="2">
        <f t="shared" si="3"/>
        <v>8552772.452</v>
      </c>
      <c r="G31" s="2">
        <f t="shared" si="3"/>
        <v>8595536.315</v>
      </c>
      <c r="H31" s="2">
        <f t="shared" si="3"/>
        <v>8638513.996</v>
      </c>
      <c r="I31" s="2">
        <f t="shared" si="3"/>
        <v>8681706.566</v>
      </c>
      <c r="J31" s="2">
        <f t="shared" si="3"/>
        <v>8725115.099</v>
      </c>
      <c r="K31" s="2">
        <f t="shared" si="3"/>
        <v>8768740.674</v>
      </c>
      <c r="L31" s="2">
        <f t="shared" si="3"/>
        <v>8812584.378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33</v>
      </c>
      <c r="B32" s="10">
        <f t="shared" ref="B32:L32" si="4">(B28/B31)*(1+B25)</f>
        <v>1066.090002</v>
      </c>
      <c r="C32" s="10">
        <f t="shared" si="4"/>
        <v>1107.926046</v>
      </c>
      <c r="D32" s="10">
        <f t="shared" si="4"/>
        <v>1161.481633</v>
      </c>
      <c r="E32" s="10">
        <f t="shared" si="4"/>
        <v>1221.764465</v>
      </c>
      <c r="F32" s="10">
        <f t="shared" si="4"/>
        <v>1278.588955</v>
      </c>
      <c r="G32" s="10">
        <f t="shared" si="4"/>
        <v>1340.913728</v>
      </c>
      <c r="H32" s="10">
        <f t="shared" si="4"/>
        <v>1406.685598</v>
      </c>
      <c r="I32" s="10">
        <f t="shared" si="4"/>
        <v>1474.39615</v>
      </c>
      <c r="J32" s="10">
        <f t="shared" si="4"/>
        <v>1546.115487</v>
      </c>
      <c r="K32" s="10">
        <f t="shared" si="4"/>
        <v>1621.48071</v>
      </c>
      <c r="L32" s="10">
        <f t="shared" si="4"/>
        <v>1700.024929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34</v>
      </c>
      <c r="B33" s="17">
        <f t="shared" ref="B33:L33" si="5">(1-$C$4-$D$4)</f>
        <v>0.86</v>
      </c>
      <c r="C33" s="17">
        <f t="shared" si="5"/>
        <v>0.86</v>
      </c>
      <c r="D33" s="17">
        <f t="shared" si="5"/>
        <v>0.86</v>
      </c>
      <c r="E33" s="17">
        <f t="shared" si="5"/>
        <v>0.86</v>
      </c>
      <c r="F33" s="17">
        <f t="shared" si="5"/>
        <v>0.86</v>
      </c>
      <c r="G33" s="17">
        <f t="shared" si="5"/>
        <v>0.86</v>
      </c>
      <c r="H33" s="17">
        <f t="shared" si="5"/>
        <v>0.86</v>
      </c>
      <c r="I33" s="17">
        <f t="shared" si="5"/>
        <v>0.86</v>
      </c>
      <c r="J33" s="17">
        <f t="shared" si="5"/>
        <v>0.86</v>
      </c>
      <c r="K33" s="17">
        <f t="shared" si="5"/>
        <v>0.86</v>
      </c>
      <c r="L33" s="17">
        <f t="shared" si="5"/>
        <v>0.86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35</v>
      </c>
      <c r="B34" s="10">
        <f t="shared" ref="B34:L34" si="6">B32/B33</f>
        <v>1239.639537</v>
      </c>
      <c r="C34" s="10">
        <f t="shared" si="6"/>
        <v>1288.2861</v>
      </c>
      <c r="D34" s="10">
        <f t="shared" si="6"/>
        <v>1350.560038</v>
      </c>
      <c r="E34" s="10">
        <f t="shared" si="6"/>
        <v>1420.656355</v>
      </c>
      <c r="F34" s="10">
        <f t="shared" si="6"/>
        <v>1486.731343</v>
      </c>
      <c r="G34" s="10">
        <f t="shared" si="6"/>
        <v>1559.202009</v>
      </c>
      <c r="H34" s="10">
        <f t="shared" si="6"/>
        <v>1635.680928</v>
      </c>
      <c r="I34" s="10">
        <f t="shared" si="6"/>
        <v>1714.414127</v>
      </c>
      <c r="J34" s="10">
        <f t="shared" si="6"/>
        <v>1797.808706</v>
      </c>
      <c r="K34" s="10">
        <f t="shared" si="6"/>
        <v>1885.442686</v>
      </c>
      <c r="L34" s="10">
        <f t="shared" si="6"/>
        <v>1976.773173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36</v>
      </c>
      <c r="B35" s="10">
        <f t="shared" ref="B35:L35" si="7">B34*B31</f>
        <v>10392932101</v>
      </c>
      <c r="C35" s="10">
        <f t="shared" si="7"/>
        <v>10854780690</v>
      </c>
      <c r="D35" s="10">
        <f t="shared" si="7"/>
        <v>11436382949</v>
      </c>
      <c r="E35" s="10">
        <f t="shared" si="7"/>
        <v>12090100035</v>
      </c>
      <c r="F35" s="10">
        <f t="shared" si="7"/>
        <v>12715674870</v>
      </c>
      <c r="G35" s="10">
        <f t="shared" si="7"/>
        <v>13402177489</v>
      </c>
      <c r="H35" s="10">
        <f t="shared" si="7"/>
        <v>14129852592</v>
      </c>
      <c r="I35" s="10">
        <f t="shared" si="7"/>
        <v>14884040387</v>
      </c>
      <c r="J35" s="10">
        <f t="shared" si="7"/>
        <v>15686087888</v>
      </c>
      <c r="K35" s="10">
        <f t="shared" si="7"/>
        <v>16532957968</v>
      </c>
      <c r="L35" s="10">
        <f t="shared" si="7"/>
        <v>17420480382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37</v>
      </c>
      <c r="B36" s="10">
        <f t="shared" ref="B36:L36" si="8">B35*B26</f>
        <v>390774247</v>
      </c>
      <c r="C36" s="10">
        <f t="shared" si="8"/>
        <v>458071745.1</v>
      </c>
      <c r="D36" s="10">
        <f t="shared" si="8"/>
        <v>507775402.9</v>
      </c>
      <c r="E36" s="10">
        <f t="shared" si="8"/>
        <v>539218461.5</v>
      </c>
      <c r="F36" s="10">
        <f t="shared" si="8"/>
        <v>559489694.3</v>
      </c>
      <c r="G36" s="10">
        <f t="shared" si="8"/>
        <v>570932761</v>
      </c>
      <c r="H36" s="10">
        <f t="shared" si="8"/>
        <v>616061573</v>
      </c>
      <c r="I36" s="10">
        <f t="shared" si="8"/>
        <v>651920968.9</v>
      </c>
      <c r="J36" s="10">
        <f t="shared" si="8"/>
        <v>685482040.7</v>
      </c>
      <c r="K36" s="10">
        <f t="shared" si="8"/>
        <v>719183671.6</v>
      </c>
      <c r="L36" s="10">
        <f t="shared" si="8"/>
        <v>756048848.6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16</v>
      </c>
      <c r="B37" s="10">
        <f t="shared" ref="B37:L37" si="9">B36+B35</f>
        <v>10783706348</v>
      </c>
      <c r="C37" s="10">
        <f t="shared" si="9"/>
        <v>11312852435</v>
      </c>
      <c r="D37" s="10">
        <f t="shared" si="9"/>
        <v>11944158352</v>
      </c>
      <c r="E37" s="10">
        <f t="shared" si="9"/>
        <v>12629318496</v>
      </c>
      <c r="F37" s="10">
        <f t="shared" si="9"/>
        <v>13275164565</v>
      </c>
      <c r="G37" s="10">
        <f t="shared" si="9"/>
        <v>13973110250</v>
      </c>
      <c r="H37" s="10">
        <f t="shared" si="9"/>
        <v>14745914165</v>
      </c>
      <c r="I37" s="10">
        <f t="shared" si="9"/>
        <v>15535961355</v>
      </c>
      <c r="J37" s="10">
        <f t="shared" si="9"/>
        <v>16371569929</v>
      </c>
      <c r="K37" s="10">
        <f t="shared" si="9"/>
        <v>17252141640</v>
      </c>
      <c r="L37" s="10">
        <f t="shared" si="9"/>
        <v>18176529230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38</v>
      </c>
      <c r="B38" s="10">
        <f t="shared" ref="B38:L38" si="10">B37-B28</f>
        <v>2165519474</v>
      </c>
      <c r="C38" s="10">
        <f t="shared" si="10"/>
        <v>2245235734</v>
      </c>
      <c r="D38" s="10">
        <f t="shared" si="10"/>
        <v>2397187534</v>
      </c>
      <c r="E38" s="10">
        <f t="shared" si="10"/>
        <v>2557163086</v>
      </c>
      <c r="F38" s="10">
        <f t="shared" si="10"/>
        <v>2665403831</v>
      </c>
      <c r="G38" s="10">
        <f t="shared" si="10"/>
        <v>2793796341</v>
      </c>
      <c r="H38" s="10">
        <f t="shared" si="10"/>
        <v>2963044749</v>
      </c>
      <c r="I38" s="10">
        <f t="shared" si="10"/>
        <v>3120563943</v>
      </c>
      <c r="J38" s="10">
        <f t="shared" si="10"/>
        <v>3288420299</v>
      </c>
      <c r="K38" s="10">
        <f t="shared" si="10"/>
        <v>3463988175</v>
      </c>
      <c r="L38" s="10">
        <f t="shared" si="10"/>
        <v>3646790962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18</v>
      </c>
      <c r="B39" s="11">
        <f t="shared" ref="B39:L39" si="11">B38/B37</f>
        <v>0.2008140248</v>
      </c>
      <c r="C39" s="11">
        <f t="shared" si="11"/>
        <v>0.1984676939</v>
      </c>
      <c r="D39" s="11">
        <f t="shared" si="11"/>
        <v>0.2006995775</v>
      </c>
      <c r="E39" s="11">
        <f t="shared" si="11"/>
        <v>0.2024783116</v>
      </c>
      <c r="F39" s="11">
        <f t="shared" si="11"/>
        <v>0.2007812271</v>
      </c>
      <c r="G39" s="11">
        <f t="shared" si="11"/>
        <v>0.1999409073</v>
      </c>
      <c r="H39" s="11">
        <f t="shared" si="11"/>
        <v>0.2009400513</v>
      </c>
      <c r="I39" s="11">
        <f t="shared" si="11"/>
        <v>0.2008606916</v>
      </c>
      <c r="J39" s="11">
        <f t="shared" si="11"/>
        <v>0.2008616347</v>
      </c>
      <c r="K39" s="11">
        <f t="shared" si="11"/>
        <v>0.2007859805</v>
      </c>
      <c r="L39" s="11">
        <f t="shared" si="11"/>
        <v>0.2006318652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39</v>
      </c>
      <c r="B40" s="10">
        <f>(B14*0.5+B35*(1-A51))</f>
        <v>1422596761</v>
      </c>
      <c r="C40" s="10">
        <f t="shared" ref="C40:L40" si="12">B40+0.05*C35</f>
        <v>1965335796</v>
      </c>
      <c r="D40" s="10">
        <f t="shared" si="12"/>
        <v>2537154943</v>
      </c>
      <c r="E40" s="10">
        <f t="shared" si="12"/>
        <v>3141659945</v>
      </c>
      <c r="F40" s="10">
        <f t="shared" si="12"/>
        <v>3777443688</v>
      </c>
      <c r="G40" s="10">
        <f t="shared" si="12"/>
        <v>4447552563</v>
      </c>
      <c r="H40" s="10">
        <f t="shared" si="12"/>
        <v>5154045192</v>
      </c>
      <c r="I40" s="10">
        <f t="shared" si="12"/>
        <v>5898247212</v>
      </c>
      <c r="J40" s="10">
        <f t="shared" si="12"/>
        <v>6682551606</v>
      </c>
      <c r="K40" s="10">
        <f t="shared" si="12"/>
        <v>7509199505</v>
      </c>
      <c r="L40" s="10">
        <f t="shared" si="12"/>
        <v>8380223524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40</v>
      </c>
      <c r="B41" s="10">
        <f>(0.5*B14+A51*B35)*(1+B26)</f>
        <v>11181422112</v>
      </c>
      <c r="C41" s="10">
        <f t="shared" ref="C41:L41" si="13">(B41+0.95*C35)*(1+C26)</f>
        <v>22400487939</v>
      </c>
      <c r="D41" s="10">
        <f t="shared" si="13"/>
        <v>34742020038</v>
      </c>
      <c r="E41" s="10">
        <f t="shared" si="13"/>
        <v>48289366703</v>
      </c>
      <c r="F41" s="10">
        <f t="shared" si="13"/>
        <v>63025505174</v>
      </c>
      <c r="G41" s="10">
        <f t="shared" si="13"/>
        <v>78984846433</v>
      </c>
      <c r="H41" s="10">
        <f t="shared" si="13"/>
        <v>96437204194</v>
      </c>
      <c r="I41" s="10">
        <f t="shared" si="13"/>
        <v>115420317025</v>
      </c>
      <c r="J41" s="10">
        <f t="shared" si="13"/>
        <v>136017176312</v>
      </c>
      <c r="K41" s="10">
        <f t="shared" si="13"/>
        <v>158323458039</v>
      </c>
      <c r="L41" s="10">
        <f t="shared" si="13"/>
        <v>182462398886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41</v>
      </c>
      <c r="B42" s="18">
        <f>(B41-B14-B28)/(B41+B35)</f>
        <v>0.03510348069</v>
      </c>
      <c r="C42" s="18">
        <f t="shared" ref="C42:L42" si="14">(C41-B41-C28)/(C35+C41-B41)</f>
        <v>0.09746598193</v>
      </c>
      <c r="D42" s="18">
        <f t="shared" si="14"/>
        <v>0.1175275997</v>
      </c>
      <c r="E42" s="18">
        <f t="shared" si="14"/>
        <v>0.135551379</v>
      </c>
      <c r="F42" s="18">
        <f t="shared" si="14"/>
        <v>0.1503134852</v>
      </c>
      <c r="G42" s="18">
        <f t="shared" si="14"/>
        <v>0.1627990497</v>
      </c>
      <c r="H42" s="18">
        <f t="shared" si="14"/>
        <v>0.1795152487</v>
      </c>
      <c r="I42" s="18">
        <f t="shared" si="14"/>
        <v>0.1939258188</v>
      </c>
      <c r="J42" s="18">
        <f t="shared" si="14"/>
        <v>0.2070865308</v>
      </c>
      <c r="K42" s="18">
        <f t="shared" si="14"/>
        <v>0.2193175852</v>
      </c>
      <c r="L42" s="18">
        <f t="shared" si="14"/>
        <v>0.2312159865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9" t="s">
        <v>42</v>
      </c>
      <c r="B43" s="20">
        <f>(B41-$B$14-SUM($B27))/(SUM($B35)+B41)</f>
        <v>0.1329302209</v>
      </c>
      <c r="C43" s="20">
        <f t="shared" ref="C43:L43" si="15">(C41-$B$14-SUM($B27:C27))/(C41+SUM($B35:C35))</f>
        <v>0.1149951822</v>
      </c>
      <c r="D43" s="20">
        <f t="shared" si="15"/>
        <v>0.1158882428</v>
      </c>
      <c r="E43" s="20">
        <f t="shared" si="15"/>
        <v>0.1213051062</v>
      </c>
      <c r="F43" s="20">
        <f t="shared" si="15"/>
        <v>0.1279128324</v>
      </c>
      <c r="G43" s="20">
        <f t="shared" si="15"/>
        <v>0.1347471902</v>
      </c>
      <c r="H43" s="20">
        <f t="shared" si="15"/>
        <v>0.1425388865</v>
      </c>
      <c r="I43" s="20">
        <f t="shared" si="15"/>
        <v>0.1506211758</v>
      </c>
      <c r="J43" s="20">
        <f t="shared" si="15"/>
        <v>0.1587636819</v>
      </c>
      <c r="K43" s="20">
        <f t="shared" si="15"/>
        <v>0.1668610486</v>
      </c>
      <c r="L43" s="20">
        <f t="shared" si="15"/>
        <v>0.1749167432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9" t="s">
        <v>43</v>
      </c>
      <c r="B44" s="20">
        <f>(B41-$B$14-SUM($B28))/(SUM($B35)+B41)</f>
        <v>0.03510348069</v>
      </c>
      <c r="C44" s="20">
        <f t="shared" ref="C44:L44" si="16">(C41-$B$14-SUM($B28:C28))/(C41+SUM($B35:C35))</f>
        <v>0.06664155689</v>
      </c>
      <c r="D44" s="20">
        <f t="shared" si="16"/>
        <v>0.08458659182</v>
      </c>
      <c r="E44" s="20">
        <f t="shared" si="16"/>
        <v>0.09862653378</v>
      </c>
      <c r="F44" s="20">
        <f t="shared" si="16"/>
        <v>0.1104001397</v>
      </c>
      <c r="G44" s="20">
        <f t="shared" si="16"/>
        <v>0.1206653082</v>
      </c>
      <c r="H44" s="20">
        <f t="shared" si="16"/>
        <v>0.1309078981</v>
      </c>
      <c r="I44" s="20">
        <f t="shared" si="16"/>
        <v>0.1408195438</v>
      </c>
      <c r="J44" s="20">
        <f t="shared" si="16"/>
        <v>0.1503754803</v>
      </c>
      <c r="K44" s="20">
        <f t="shared" si="16"/>
        <v>0.159594531</v>
      </c>
      <c r="L44" s="20">
        <f t="shared" si="16"/>
        <v>0.1685598193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9" t="s">
        <v>44</v>
      </c>
      <c r="B45" s="20">
        <f>(B41-$B$14-SUM($B29))/(SUM($B35)+B41)</f>
        <v>-0.1305124539</v>
      </c>
      <c r="C45" s="20">
        <f t="shared" ref="C45:L45" si="17">(C41-$B$14-SUM($B29:C29))/(C41+SUM($B35:C35))</f>
        <v>-0.0152187896</v>
      </c>
      <c r="D45" s="20">
        <f t="shared" si="17"/>
        <v>0.03159441225</v>
      </c>
      <c r="E45" s="20">
        <f t="shared" si="17"/>
        <v>0.06023280867</v>
      </c>
      <c r="F45" s="20">
        <f t="shared" si="17"/>
        <v>0.08075199886</v>
      </c>
      <c r="G45" s="20">
        <f t="shared" si="17"/>
        <v>0.09682536378</v>
      </c>
      <c r="H45" s="20">
        <f t="shared" si="17"/>
        <v>0.1112171979</v>
      </c>
      <c r="I45" s="20">
        <f t="shared" si="17"/>
        <v>0.1242258554</v>
      </c>
      <c r="J45" s="20">
        <f t="shared" si="17"/>
        <v>0.1361746611</v>
      </c>
      <c r="K45" s="20">
        <f t="shared" si="17"/>
        <v>0.1472926685</v>
      </c>
      <c r="L45" s="20">
        <f t="shared" si="17"/>
        <v>0.1577978549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9" t="s">
        <v>45</v>
      </c>
      <c r="B46" s="20">
        <f>(B41-$B$14-SUM($B30))/(SUM($B35)+B41)</f>
        <v>-0.4130526307</v>
      </c>
      <c r="C46" s="20">
        <f t="shared" ref="C46:L46" si="18">(C41-$B$14-SUM($B30:C30))/(C41+SUM($B35:C35))</f>
        <v>-0.1548722404</v>
      </c>
      <c r="D46" s="20">
        <f t="shared" si="18"/>
        <v>-0.05881005173</v>
      </c>
      <c r="E46" s="20">
        <f t="shared" si="18"/>
        <v>-0.005266745531</v>
      </c>
      <c r="F46" s="20">
        <f t="shared" si="18"/>
        <v>0.03017237934</v>
      </c>
      <c r="G46" s="20">
        <f t="shared" si="18"/>
        <v>0.05615450606</v>
      </c>
      <c r="H46" s="20">
        <f t="shared" si="18"/>
        <v>0.07762493558</v>
      </c>
      <c r="I46" s="20">
        <f t="shared" si="18"/>
        <v>0.09591708381</v>
      </c>
      <c r="J46" s="20">
        <f t="shared" si="18"/>
        <v>0.1119481156</v>
      </c>
      <c r="K46" s="20">
        <f t="shared" si="18"/>
        <v>0.1263057362</v>
      </c>
      <c r="L46" s="20">
        <f t="shared" si="18"/>
        <v>0.1394379831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3" t="s">
        <v>25</v>
      </c>
      <c r="C47" s="21">
        <v>2176.0</v>
      </c>
      <c r="D47" s="21">
        <v>2177.0</v>
      </c>
      <c r="E47" s="21">
        <v>2178.0</v>
      </c>
      <c r="F47" s="21">
        <v>2179.0</v>
      </c>
      <c r="G47" s="21">
        <v>2180.0</v>
      </c>
      <c r="H47" s="21">
        <v>2181.0</v>
      </c>
      <c r="I47" s="21">
        <v>2182.0</v>
      </c>
      <c r="J47" s="21">
        <v>2183.0</v>
      </c>
      <c r="K47" s="21">
        <v>2184.0</v>
      </c>
      <c r="L47" s="21">
        <v>2185.0</v>
      </c>
      <c r="M47" s="21">
        <v>2186.0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3" t="s">
        <v>46</v>
      </c>
      <c r="C48" s="7">
        <f>8618186873.65/1000000000</f>
        <v>8.618186874</v>
      </c>
      <c r="D48" s="7">
        <f>9067616700.92/1000000000</f>
        <v>9.067616701</v>
      </c>
      <c r="E48" s="7">
        <f>9546970817.25/1000000000</f>
        <v>9.546970817</v>
      </c>
      <c r="F48" s="7">
        <f>10072155410.08/1000000000</f>
        <v>10.07215541</v>
      </c>
      <c r="G48" s="7">
        <f>10609760733.96/1000000000</f>
        <v>10.60976073</v>
      </c>
      <c r="H48" s="7">
        <f>11179313909.68/1000000000</f>
        <v>11.17931391</v>
      </c>
      <c r="I48" s="7">
        <f>11782869416.62/1000000000</f>
        <v>11.78286942</v>
      </c>
      <c r="J48" s="7">
        <f>12415397412.65/1000000000</f>
        <v>12.41539741</v>
      </c>
      <c r="K48" s="7">
        <f>13083149630.17/1000000000</f>
        <v>13.08314963</v>
      </c>
      <c r="L48" s="7">
        <f>13788153464.4/1000000000</f>
        <v>13.78815346</v>
      </c>
      <c r="M48" s="7">
        <f>14529738267.96/1000000000</f>
        <v>14.52973827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3" t="s">
        <v>18</v>
      </c>
      <c r="C49" s="22">
        <v>0.2008</v>
      </c>
      <c r="D49" s="22">
        <v>0.1985</v>
      </c>
      <c r="E49" s="22">
        <v>0.2007</v>
      </c>
      <c r="F49" s="22">
        <v>0.2025</v>
      </c>
      <c r="G49" s="22">
        <v>0.2008</v>
      </c>
      <c r="H49" s="22">
        <v>0.1999</v>
      </c>
      <c r="I49" s="22">
        <v>0.2009</v>
      </c>
      <c r="J49" s="22">
        <v>0.2009</v>
      </c>
      <c r="K49" s="22">
        <v>0.2009</v>
      </c>
      <c r="L49" s="22">
        <v>0.2008</v>
      </c>
      <c r="M49" s="22">
        <v>0.2006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>
        <v>0.95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1.22" defaultRowHeight="15.0"/>
  <cols>
    <col customWidth="1" min="1" max="1" width="34.33"/>
    <col customWidth="1" min="2" max="2" width="21.44"/>
    <col customWidth="1" min="3" max="3" width="20.78"/>
    <col customWidth="1" min="4" max="11" width="20.44"/>
    <col customWidth="1" min="12" max="12" width="22.33"/>
    <col customWidth="1" min="13" max="13" width="18.78"/>
    <col customWidth="1" min="14" max="26" width="10.5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3" t="s">
        <v>47</v>
      </c>
      <c r="C3" s="3" t="s">
        <v>1</v>
      </c>
      <c r="D3" s="3" t="s">
        <v>2</v>
      </c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48</v>
      </c>
      <c r="B4" s="23">
        <v>98524.0</v>
      </c>
      <c r="C4" s="24">
        <v>0.05</v>
      </c>
      <c r="D4" s="24">
        <v>0.1</v>
      </c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/>
      <c r="B5" s="5"/>
      <c r="C5" s="6"/>
      <c r="D5" s="6"/>
      <c r="E5" s="7"/>
      <c r="F5" s="7"/>
      <c r="G5" s="1" t="s">
        <v>49</v>
      </c>
      <c r="H5" s="25">
        <v>0.0239057365892857</v>
      </c>
      <c r="I5" s="26">
        <v>0.051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/>
      <c r="B6" s="5"/>
      <c r="C6" s="6"/>
      <c r="D6" s="6"/>
      <c r="E6" s="7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>
        <v>2175.0</v>
      </c>
      <c r="B7" s="5"/>
      <c r="C7" s="8" t="s">
        <v>12</v>
      </c>
      <c r="D7" s="6"/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13</v>
      </c>
      <c r="B8" s="7">
        <f>B12/B4</f>
        <v>477732.1188</v>
      </c>
      <c r="C8" s="7"/>
      <c r="D8" s="6"/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14</v>
      </c>
      <c r="B9" s="7">
        <f>B8/(1-C4-D4)</f>
        <v>562037.7868</v>
      </c>
      <c r="C9" s="7">
        <f>B9*B4</f>
        <v>55374210908</v>
      </c>
      <c r="D9" s="6"/>
      <c r="E9" s="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/>
      <c r="B10" s="10"/>
      <c r="C10" s="1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15</v>
      </c>
      <c r="B12" s="27">
        <v>4.7068079272E10</v>
      </c>
      <c r="C12" s="2"/>
      <c r="D12" s="2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16</v>
      </c>
      <c r="B13" s="10">
        <f>C9</f>
        <v>55374210908</v>
      </c>
      <c r="C13" s="10">
        <f>B13*I5</f>
        <v>2824084756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17</v>
      </c>
      <c r="B14" s="10">
        <f>(B13+C13)-B12</f>
        <v>11130216393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 t="s">
        <v>18</v>
      </c>
      <c r="B15" s="11">
        <f>B14/B13</f>
        <v>0.201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19</v>
      </c>
      <c r="B18" s="12" t="s">
        <v>20</v>
      </c>
      <c r="C18" s="1" t="s">
        <v>21</v>
      </c>
      <c r="D18" s="2"/>
      <c r="E18" s="10">
        <f>C42-C28</f>
        <v>79004923155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22</v>
      </c>
      <c r="B19" s="13">
        <v>0.25</v>
      </c>
      <c r="C19" s="14">
        <f t="shared" ref="C19:C21" si="1">B19/10</f>
        <v>0.025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23</v>
      </c>
      <c r="B20" s="13">
        <v>0.25</v>
      </c>
      <c r="C20" s="14">
        <f t="shared" si="1"/>
        <v>0.025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24</v>
      </c>
      <c r="B21" s="13">
        <v>0.15</v>
      </c>
      <c r="C21" s="14">
        <f t="shared" si="1"/>
        <v>0.015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3"/>
      <c r="C22" s="14">
        <f>AVERAGE(C19:C21)</f>
        <v>0.02166666667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25</v>
      </c>
      <c r="B24" s="15">
        <v>2176.0</v>
      </c>
      <c r="C24" s="15">
        <v>2177.0</v>
      </c>
      <c r="D24" s="15">
        <f t="shared" ref="D24:L24" si="2">C24+1</f>
        <v>2178</v>
      </c>
      <c r="E24" s="15">
        <f t="shared" si="2"/>
        <v>2179</v>
      </c>
      <c r="F24" s="15">
        <f t="shared" si="2"/>
        <v>2180</v>
      </c>
      <c r="G24" s="15">
        <f t="shared" si="2"/>
        <v>2181</v>
      </c>
      <c r="H24" s="15">
        <f t="shared" si="2"/>
        <v>2182</v>
      </c>
      <c r="I24" s="15">
        <f t="shared" si="2"/>
        <v>2183</v>
      </c>
      <c r="J24" s="15">
        <f t="shared" si="2"/>
        <v>2184</v>
      </c>
      <c r="K24" s="15">
        <f t="shared" si="2"/>
        <v>2185</v>
      </c>
      <c r="L24" s="15">
        <f t="shared" si="2"/>
        <v>2186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26</v>
      </c>
      <c r="B25" s="11">
        <v>0.0371</v>
      </c>
      <c r="C25" s="11">
        <v>0.0295</v>
      </c>
      <c r="D25" s="11">
        <v>0.0302</v>
      </c>
      <c r="E25" s="11">
        <v>0.0323</v>
      </c>
      <c r="F25" s="11">
        <v>0.0307</v>
      </c>
      <c r="G25" s="11">
        <v>0.031</v>
      </c>
      <c r="H25" s="11">
        <v>0.0313</v>
      </c>
      <c r="I25" s="11">
        <v>0.031</v>
      </c>
      <c r="J25" s="11">
        <v>0.0311</v>
      </c>
      <c r="K25" s="11">
        <v>0.0312</v>
      </c>
      <c r="L25" s="11">
        <v>0.0311</v>
      </c>
      <c r="M25" s="1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27</v>
      </c>
      <c r="B26" s="11">
        <v>0.0376</v>
      </c>
      <c r="C26" s="11">
        <v>0.0422</v>
      </c>
      <c r="D26" s="11">
        <v>0.0444</v>
      </c>
      <c r="E26" s="11">
        <v>0.0446</v>
      </c>
      <c r="F26" s="11">
        <v>0.044</v>
      </c>
      <c r="G26" s="11">
        <v>0.0426</v>
      </c>
      <c r="H26" s="11">
        <v>0.0436</v>
      </c>
      <c r="I26" s="11">
        <v>0.0438</v>
      </c>
      <c r="J26" s="11">
        <v>0.0437</v>
      </c>
      <c r="K26" s="11">
        <v>0.0435</v>
      </c>
      <c r="L26" s="11">
        <v>0.0434</v>
      </c>
      <c r="M26" s="1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28</v>
      </c>
      <c r="B27" s="29">
        <v>3.7670947059E10</v>
      </c>
      <c r="C27" s="10">
        <v>5.248984049362618E10</v>
      </c>
      <c r="D27" s="10">
        <v>5.5264684417417435E10</v>
      </c>
      <c r="E27" s="10">
        <v>5.830482786603022E10</v>
      </c>
      <c r="F27" s="10">
        <v>6.141687137531072E10</v>
      </c>
      <c r="G27" s="10">
        <v>6.471385186448015E10</v>
      </c>
      <c r="H27" s="10">
        <v>6.820766212725083E10</v>
      </c>
      <c r="I27" s="10">
        <v>7.18691858455659E10</v>
      </c>
      <c r="J27" s="10">
        <v>7.573461251092097E10</v>
      </c>
      <c r="K27" s="10">
        <v>7.981567813452946E10</v>
      </c>
      <c r="L27" s="10">
        <v>8.410850053045262E10</v>
      </c>
      <c r="M27" s="1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29</v>
      </c>
      <c r="B28" s="10">
        <v>4.9888219723277E10</v>
      </c>
      <c r="C28" s="10">
        <v>5.248984049362618E10</v>
      </c>
      <c r="D28" s="10">
        <v>5.5264684417417435E10</v>
      </c>
      <c r="E28" s="10">
        <v>5.830482786603022E10</v>
      </c>
      <c r="F28" s="10">
        <v>6.141687137531072E10</v>
      </c>
      <c r="G28" s="10">
        <v>6.471385186448015E10</v>
      </c>
      <c r="H28" s="10">
        <v>6.820766212725083E10</v>
      </c>
      <c r="I28" s="10">
        <v>7.18691858455659E10</v>
      </c>
      <c r="J28" s="10">
        <v>7.573461251092097E10</v>
      </c>
      <c r="K28" s="10">
        <v>7.981567813452946E10</v>
      </c>
      <c r="L28" s="10">
        <v>8.410850053045262E10</v>
      </c>
      <c r="M28" s="1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30</v>
      </c>
      <c r="B29" s="29">
        <v>5.9455598728E10</v>
      </c>
      <c r="C29" s="10">
        <v>5.248984049362618E10</v>
      </c>
      <c r="D29" s="10">
        <v>5.5264684417417435E10</v>
      </c>
      <c r="E29" s="10">
        <v>5.830482786603022E10</v>
      </c>
      <c r="F29" s="10">
        <v>6.141687137531072E10</v>
      </c>
      <c r="G29" s="10">
        <v>6.471385186448015E10</v>
      </c>
      <c r="H29" s="10">
        <v>6.820766212725083E10</v>
      </c>
      <c r="I29" s="10">
        <v>7.18691858455659E10</v>
      </c>
      <c r="J29" s="10">
        <v>7.573461251092097E10</v>
      </c>
      <c r="K29" s="10">
        <v>7.981567813452946E10</v>
      </c>
      <c r="L29" s="10">
        <v>8.410850053045262E10</v>
      </c>
      <c r="M29" s="1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31</v>
      </c>
      <c r="B30" s="29">
        <v>8.174909977E10</v>
      </c>
      <c r="C30" s="10">
        <v>5.248984049362618E10</v>
      </c>
      <c r="D30" s="10">
        <v>5.5264684417417435E10</v>
      </c>
      <c r="E30" s="10">
        <v>5.830482786603022E10</v>
      </c>
      <c r="F30" s="10">
        <v>6.141687137531072E10</v>
      </c>
      <c r="G30" s="10">
        <v>6.471385186448015E10</v>
      </c>
      <c r="H30" s="10">
        <v>6.820766212725083E10</v>
      </c>
      <c r="I30" s="10">
        <v>7.18691858455659E10</v>
      </c>
      <c r="J30" s="10">
        <v>7.573461251092097E10</v>
      </c>
      <c r="K30" s="10">
        <v>7.981567813452946E10</v>
      </c>
      <c r="L30" s="10">
        <v>8.410850053045262E10</v>
      </c>
      <c r="M30" s="1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50</v>
      </c>
      <c r="B31" s="29">
        <v>1.05934088378E11</v>
      </c>
      <c r="C31" s="10">
        <v>5.248984049362618E10</v>
      </c>
      <c r="D31" s="10">
        <v>5.5264684417417435E10</v>
      </c>
      <c r="E31" s="10">
        <v>5.830482786603022E10</v>
      </c>
      <c r="F31" s="10">
        <v>6.141687137531072E10</v>
      </c>
      <c r="G31" s="10">
        <v>6.471385186448015E10</v>
      </c>
      <c r="H31" s="10">
        <v>6.820766212725083E10</v>
      </c>
      <c r="I31" s="10">
        <v>7.18691858455659E10</v>
      </c>
      <c r="J31" s="10">
        <v>7.573461251092097E10</v>
      </c>
      <c r="K31" s="10">
        <v>7.981567813452946E10</v>
      </c>
      <c r="L31" s="10">
        <v>8.410850053045262E10</v>
      </c>
      <c r="M31" s="1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51</v>
      </c>
      <c r="B32" s="2">
        <f>B4</f>
        <v>98524</v>
      </c>
      <c r="C32" s="2">
        <f t="shared" ref="C32:L32" si="3">B32*(1+0.5%)</f>
        <v>99016.62</v>
      </c>
      <c r="D32" s="2">
        <f t="shared" si="3"/>
        <v>99511.7031</v>
      </c>
      <c r="E32" s="2">
        <f t="shared" si="3"/>
        <v>100009.2616</v>
      </c>
      <c r="F32" s="2">
        <f t="shared" si="3"/>
        <v>100509.3079</v>
      </c>
      <c r="G32" s="2">
        <f t="shared" si="3"/>
        <v>101011.8545</v>
      </c>
      <c r="H32" s="2">
        <f t="shared" si="3"/>
        <v>101516.9137</v>
      </c>
      <c r="I32" s="2">
        <f t="shared" si="3"/>
        <v>102024.4983</v>
      </c>
      <c r="J32" s="2">
        <f t="shared" si="3"/>
        <v>102534.6208</v>
      </c>
      <c r="K32" s="2">
        <f t="shared" si="3"/>
        <v>103047.2939</v>
      </c>
      <c r="L32" s="2">
        <f t="shared" si="3"/>
        <v>103562.5304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33</v>
      </c>
      <c r="B33" s="10">
        <f t="shared" ref="B33:L33" si="4">(B28/B32)*(1+B25)</f>
        <v>525141.82</v>
      </c>
      <c r="C33" s="10">
        <f t="shared" si="4"/>
        <v>545749.7013</v>
      </c>
      <c r="D33" s="10">
        <f t="shared" si="4"/>
        <v>572130.4742</v>
      </c>
      <c r="E33" s="10">
        <f t="shared" si="4"/>
        <v>601824.9993</v>
      </c>
      <c r="F33" s="10">
        <f t="shared" si="4"/>
        <v>629815.9905</v>
      </c>
      <c r="G33" s="10">
        <f t="shared" si="4"/>
        <v>660516.3486</v>
      </c>
      <c r="H33" s="10">
        <f t="shared" si="4"/>
        <v>692914.7012</v>
      </c>
      <c r="I33" s="10">
        <f t="shared" si="4"/>
        <v>726268.0223</v>
      </c>
      <c r="J33" s="10">
        <f t="shared" si="4"/>
        <v>761596.0185</v>
      </c>
      <c r="K33" s="10">
        <f t="shared" si="4"/>
        <v>798719.9292</v>
      </c>
      <c r="L33" s="10">
        <f t="shared" si="4"/>
        <v>837409.7715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34</v>
      </c>
      <c r="B34" s="17">
        <f t="shared" ref="B34:L34" si="5">(1-$C$4-$D$4)</f>
        <v>0.85</v>
      </c>
      <c r="C34" s="17">
        <f t="shared" si="5"/>
        <v>0.85</v>
      </c>
      <c r="D34" s="17">
        <f t="shared" si="5"/>
        <v>0.85</v>
      </c>
      <c r="E34" s="17">
        <f t="shared" si="5"/>
        <v>0.85</v>
      </c>
      <c r="F34" s="17">
        <f t="shared" si="5"/>
        <v>0.85</v>
      </c>
      <c r="G34" s="17">
        <f t="shared" si="5"/>
        <v>0.85</v>
      </c>
      <c r="H34" s="17">
        <f t="shared" si="5"/>
        <v>0.85</v>
      </c>
      <c r="I34" s="17">
        <f t="shared" si="5"/>
        <v>0.85</v>
      </c>
      <c r="J34" s="17">
        <f t="shared" si="5"/>
        <v>0.85</v>
      </c>
      <c r="K34" s="17">
        <f t="shared" si="5"/>
        <v>0.85</v>
      </c>
      <c r="L34" s="17">
        <f t="shared" si="5"/>
        <v>0.85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35</v>
      </c>
      <c r="B35" s="10">
        <f t="shared" ref="B35:L35" si="6">B33/B34</f>
        <v>617813.9059</v>
      </c>
      <c r="C35" s="10">
        <f t="shared" si="6"/>
        <v>642058.4721</v>
      </c>
      <c r="D35" s="10">
        <f t="shared" si="6"/>
        <v>673094.6756</v>
      </c>
      <c r="E35" s="10">
        <f t="shared" si="6"/>
        <v>708029.411</v>
      </c>
      <c r="F35" s="10">
        <f t="shared" si="6"/>
        <v>740959.9888</v>
      </c>
      <c r="G35" s="10">
        <f t="shared" si="6"/>
        <v>777078.0571</v>
      </c>
      <c r="H35" s="10">
        <f t="shared" si="6"/>
        <v>815193.7662</v>
      </c>
      <c r="I35" s="10">
        <f t="shared" si="6"/>
        <v>854432.9674</v>
      </c>
      <c r="J35" s="10">
        <f t="shared" si="6"/>
        <v>895995.3159</v>
      </c>
      <c r="K35" s="10">
        <f t="shared" si="6"/>
        <v>939670.505</v>
      </c>
      <c r="L35" s="10">
        <f t="shared" si="6"/>
        <v>985187.9665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36</v>
      </c>
      <c r="B36" s="10">
        <f t="shared" ref="B36:L36" si="7">B35*B32</f>
        <v>60869497265</v>
      </c>
      <c r="C36" s="10">
        <f t="shared" si="7"/>
        <v>63574459751</v>
      </c>
      <c r="D36" s="10">
        <f t="shared" si="7"/>
        <v>66980797514</v>
      </c>
      <c r="E36" s="10">
        <f t="shared" si="7"/>
        <v>70809498595</v>
      </c>
      <c r="F36" s="10">
        <f t="shared" si="7"/>
        <v>74473375678</v>
      </c>
      <c r="G36" s="10">
        <f t="shared" si="7"/>
        <v>78494095614</v>
      </c>
      <c r="H36" s="10">
        <f t="shared" si="7"/>
        <v>82755955237</v>
      </c>
      <c r="I36" s="10">
        <f t="shared" si="7"/>
        <v>87173094832</v>
      </c>
      <c r="J36" s="10">
        <f t="shared" si="7"/>
        <v>91870539953</v>
      </c>
      <c r="K36" s="10">
        <f t="shared" si="7"/>
        <v>96830502697</v>
      </c>
      <c r="L36" s="10">
        <f t="shared" si="7"/>
        <v>102028558702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52</v>
      </c>
      <c r="B37" s="10">
        <f t="shared" ref="B37:L37" si="8">B36*B26</f>
        <v>2288693097</v>
      </c>
      <c r="C37" s="10">
        <f t="shared" si="8"/>
        <v>2682842201</v>
      </c>
      <c r="D37" s="10">
        <f t="shared" si="8"/>
        <v>2973947410</v>
      </c>
      <c r="E37" s="10">
        <f t="shared" si="8"/>
        <v>3158103637</v>
      </c>
      <c r="F37" s="10">
        <f t="shared" si="8"/>
        <v>3276828530</v>
      </c>
      <c r="G37" s="10">
        <f t="shared" si="8"/>
        <v>3343848473</v>
      </c>
      <c r="H37" s="10">
        <f t="shared" si="8"/>
        <v>3608159648</v>
      </c>
      <c r="I37" s="10">
        <f t="shared" si="8"/>
        <v>3818181554</v>
      </c>
      <c r="J37" s="10">
        <f t="shared" si="8"/>
        <v>4014742596</v>
      </c>
      <c r="K37" s="10">
        <f t="shared" si="8"/>
        <v>4212126867</v>
      </c>
      <c r="L37" s="10">
        <f t="shared" si="8"/>
        <v>4428039448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16</v>
      </c>
      <c r="B38" s="10">
        <f t="shared" ref="B38:L38" si="9">B37+B36</f>
        <v>63158190362</v>
      </c>
      <c r="C38" s="10">
        <f t="shared" si="9"/>
        <v>66257301952</v>
      </c>
      <c r="D38" s="10">
        <f t="shared" si="9"/>
        <v>69954744924</v>
      </c>
      <c r="E38" s="10">
        <f t="shared" si="9"/>
        <v>73967602233</v>
      </c>
      <c r="F38" s="10">
        <f t="shared" si="9"/>
        <v>77750204208</v>
      </c>
      <c r="G38" s="10">
        <f t="shared" si="9"/>
        <v>81837944088</v>
      </c>
      <c r="H38" s="10">
        <f t="shared" si="9"/>
        <v>86364114886</v>
      </c>
      <c r="I38" s="10">
        <f t="shared" si="9"/>
        <v>90991276385</v>
      </c>
      <c r="J38" s="10">
        <f t="shared" si="9"/>
        <v>95885282549</v>
      </c>
      <c r="K38" s="10">
        <f t="shared" si="9"/>
        <v>101042629564</v>
      </c>
      <c r="L38" s="10">
        <f t="shared" si="9"/>
        <v>106456598150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38</v>
      </c>
      <c r="B39" s="10">
        <f t="shared" ref="B39:L39" si="10">B38-B28</f>
        <v>13269970639</v>
      </c>
      <c r="C39" s="10">
        <f t="shared" si="10"/>
        <v>13767461459</v>
      </c>
      <c r="D39" s="10">
        <f t="shared" si="10"/>
        <v>14690060506</v>
      </c>
      <c r="E39" s="10">
        <f t="shared" si="10"/>
        <v>15662774367</v>
      </c>
      <c r="F39" s="10">
        <f t="shared" si="10"/>
        <v>16333332833</v>
      </c>
      <c r="G39" s="10">
        <f t="shared" si="10"/>
        <v>17124092223</v>
      </c>
      <c r="H39" s="10">
        <f t="shared" si="10"/>
        <v>18156452759</v>
      </c>
      <c r="I39" s="10">
        <f t="shared" si="10"/>
        <v>19122090540</v>
      </c>
      <c r="J39" s="10">
        <f t="shared" si="10"/>
        <v>20150670038</v>
      </c>
      <c r="K39" s="10">
        <f t="shared" si="10"/>
        <v>21226951430</v>
      </c>
      <c r="L39" s="10">
        <f t="shared" si="10"/>
        <v>22348097620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18</v>
      </c>
      <c r="B40" s="11">
        <f t="shared" ref="B40:L40" si="11">B39/B38</f>
        <v>0.210106885</v>
      </c>
      <c r="C40" s="11">
        <f t="shared" si="11"/>
        <v>0.207787837</v>
      </c>
      <c r="D40" s="11">
        <f t="shared" si="11"/>
        <v>0.2099937684</v>
      </c>
      <c r="E40" s="11">
        <f t="shared" si="11"/>
        <v>0.2117518196</v>
      </c>
      <c r="F40" s="11">
        <f t="shared" si="11"/>
        <v>0.2100744686</v>
      </c>
      <c r="G40" s="11">
        <f t="shared" si="11"/>
        <v>0.20924392</v>
      </c>
      <c r="H40" s="11">
        <f t="shared" si="11"/>
        <v>0.210231446</v>
      </c>
      <c r="I40" s="11">
        <f t="shared" si="11"/>
        <v>0.2101530092</v>
      </c>
      <c r="J40" s="11">
        <f t="shared" si="11"/>
        <v>0.2101539413</v>
      </c>
      <c r="K40" s="11">
        <f t="shared" si="11"/>
        <v>0.2100791668</v>
      </c>
      <c r="L40" s="11">
        <f t="shared" si="11"/>
        <v>0.2099268435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39</v>
      </c>
      <c r="B41" s="10">
        <f>(11130216392.56*0.5+(B36)*(1-A53))</f>
        <v>8608583060</v>
      </c>
      <c r="C41" s="10">
        <f t="shared" ref="C41:L41" si="12">B41+0.05*C36</f>
        <v>11787306047</v>
      </c>
      <c r="D41" s="10">
        <f t="shared" si="12"/>
        <v>15136345923</v>
      </c>
      <c r="E41" s="10">
        <f t="shared" si="12"/>
        <v>18676820853</v>
      </c>
      <c r="F41" s="10">
        <f t="shared" si="12"/>
        <v>22400489636</v>
      </c>
      <c r="G41" s="10">
        <f t="shared" si="12"/>
        <v>26325194417</v>
      </c>
      <c r="H41" s="10">
        <f t="shared" si="12"/>
        <v>30462992179</v>
      </c>
      <c r="I41" s="10">
        <f t="shared" si="12"/>
        <v>34821646921</v>
      </c>
      <c r="J41" s="10">
        <f t="shared" si="12"/>
        <v>39415173918</v>
      </c>
      <c r="K41" s="10">
        <f t="shared" si="12"/>
        <v>44256699053</v>
      </c>
      <c r="L41" s="10">
        <f t="shared" si="12"/>
        <v>49358126988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40</v>
      </c>
      <c r="B42" s="10">
        <f>(0.5*B14+A53*B36)*(1+B26)</f>
        <v>65774637108</v>
      </c>
      <c r="C42" s="10">
        <f t="shared" ref="C42:L42" si="13">(B42+0.95*C36)*(1+C26)</f>
        <v>131494763649</v>
      </c>
      <c r="D42" s="10">
        <f t="shared" si="13"/>
        <v>203790138832</v>
      </c>
      <c r="E42" s="10">
        <f t="shared" si="13"/>
        <v>283148401145</v>
      </c>
      <c r="F42" s="10">
        <f t="shared" si="13"/>
        <v>369469624793</v>
      </c>
      <c r="G42" s="10">
        <f t="shared" si="13"/>
        <v>462955077693</v>
      </c>
      <c r="H42" s="10">
        <f t="shared" si="13"/>
        <v>565185828222</v>
      </c>
      <c r="I42" s="10">
        <f t="shared" si="13"/>
        <v>676382680064</v>
      </c>
      <c r="J42" s="10">
        <f t="shared" si="13"/>
        <v>797031621604</v>
      </c>
      <c r="K42" s="10">
        <f t="shared" si="13"/>
        <v>927692995230</v>
      </c>
      <c r="L42" s="10">
        <f t="shared" si="13"/>
        <v>1069088639465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41</v>
      </c>
      <c r="B43" s="30">
        <f>(B42-11130216392.56-B28)/(B36+B42)</f>
        <v>0.03755563584</v>
      </c>
      <c r="C43" s="30">
        <f t="shared" ref="C43:L43" si="14">(C42-B42-C28)/(C36+C42-B42)</f>
        <v>0.1023266822</v>
      </c>
      <c r="D43" s="30">
        <f t="shared" si="14"/>
        <v>0.1222800026</v>
      </c>
      <c r="E43" s="30">
        <f t="shared" si="14"/>
        <v>0.1401994298</v>
      </c>
      <c r="F43" s="30">
        <f t="shared" si="14"/>
        <v>0.1548830146</v>
      </c>
      <c r="G43" s="30">
        <f t="shared" si="14"/>
        <v>0.1672966424</v>
      </c>
      <c r="H43" s="30">
        <f t="shared" si="14"/>
        <v>0.1839218027</v>
      </c>
      <c r="I43" s="30">
        <f t="shared" si="14"/>
        <v>0.1982541542</v>
      </c>
      <c r="J43" s="30">
        <f t="shared" si="14"/>
        <v>0.211342173</v>
      </c>
      <c r="K43" s="30">
        <f t="shared" si="14"/>
        <v>0.2235055436</v>
      </c>
      <c r="L43" s="30">
        <f t="shared" si="14"/>
        <v>0.2353387338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19" t="s">
        <v>42</v>
      </c>
      <c r="B44" s="31">
        <f>(B42-$B$14-SUM($B27))/(B42+SUM($B36))</f>
        <v>0.134024949</v>
      </c>
      <c r="C44" s="31">
        <f>(C42-$B$14-SUM($B27:C27))/(C42+SUM($B36:C36))</f>
        <v>0.1180116851</v>
      </c>
      <c r="D44" s="31">
        <f t="shared" ref="D44:L44" si="15">(D42-$B$14-SUM($B27:D27))/(D42+SUM($B36:D37))</f>
        <v>0.1171604485</v>
      </c>
      <c r="E44" s="31">
        <f t="shared" si="15"/>
        <v>0.1227126206</v>
      </c>
      <c r="F44" s="31">
        <f t="shared" si="15"/>
        <v>0.1293334889</v>
      </c>
      <c r="G44" s="31">
        <f t="shared" si="15"/>
        <v>0.1361384261</v>
      </c>
      <c r="H44" s="31">
        <f t="shared" si="15"/>
        <v>0.1438362274</v>
      </c>
      <c r="I44" s="31">
        <f t="shared" si="15"/>
        <v>0.1517992138</v>
      </c>
      <c r="J44" s="31">
        <f t="shared" si="15"/>
        <v>0.1598118654</v>
      </c>
      <c r="K44" s="31">
        <f t="shared" si="15"/>
        <v>0.1677757989</v>
      </c>
      <c r="L44" s="31">
        <f t="shared" si="15"/>
        <v>0.1756958594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19" t="s">
        <v>43</v>
      </c>
      <c r="B45" s="31">
        <f>(B42-$B$14-SUM($B28))/(B42+SUM($B36))</f>
        <v>0.03755563584</v>
      </c>
      <c r="C45" s="31">
        <f t="shared" ref="C45:L45" si="16">(C42-$B$14-SUM($B28:C28))/(C42+SUM($B36:C36))</f>
        <v>0.07027653726</v>
      </c>
      <c r="D45" s="31">
        <f t="shared" si="16"/>
        <v>0.08860288009</v>
      </c>
      <c r="E45" s="31">
        <f t="shared" si="16"/>
        <v>0.1028096728</v>
      </c>
      <c r="F45" s="31">
        <f t="shared" si="16"/>
        <v>0.1146666281</v>
      </c>
      <c r="G45" s="31">
        <f t="shared" si="16"/>
        <v>0.1249737693</v>
      </c>
      <c r="H45" s="31">
        <f t="shared" si="16"/>
        <v>0.1352307124</v>
      </c>
      <c r="I45" s="31">
        <f t="shared" si="16"/>
        <v>0.1451409966</v>
      </c>
      <c r="J45" s="31">
        <f t="shared" si="16"/>
        <v>0.1546855863</v>
      </c>
      <c r="K45" s="31">
        <f t="shared" si="16"/>
        <v>0.1638867341</v>
      </c>
      <c r="L45" s="31">
        <f t="shared" si="16"/>
        <v>0.1728294601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9" t="s">
        <v>44</v>
      </c>
      <c r="B46" s="31">
        <f>(B42-$B$14-SUM($B29))/(B42+SUM($B36))</f>
        <v>-0.03798974217</v>
      </c>
      <c r="C46" s="31">
        <f t="shared" ref="C46:L46" si="17">(C42-$B$14-SUM($B29:C29))/(C42+SUM($B36:C36))</f>
        <v>0.03289501492</v>
      </c>
      <c r="D46" s="31">
        <f t="shared" si="17"/>
        <v>0.06439483741</v>
      </c>
      <c r="E46" s="31">
        <f t="shared" si="17"/>
        <v>0.08526716588</v>
      </c>
      <c r="F46" s="31">
        <f t="shared" si="17"/>
        <v>0.1011185013</v>
      </c>
      <c r="G46" s="31">
        <f t="shared" si="17"/>
        <v>0.1140789279</v>
      </c>
      <c r="H46" s="31">
        <f t="shared" si="17"/>
        <v>0.1262315708</v>
      </c>
      <c r="I46" s="31">
        <f t="shared" si="17"/>
        <v>0.1375569482</v>
      </c>
      <c r="J46" s="31">
        <f t="shared" si="17"/>
        <v>0.1481949722</v>
      </c>
      <c r="K46" s="31">
        <f t="shared" si="17"/>
        <v>0.1582639075</v>
      </c>
      <c r="L46" s="31">
        <f t="shared" si="17"/>
        <v>0.1679103702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9" t="s">
        <v>45</v>
      </c>
      <c r="B47" s="31">
        <f>(B42-$B$14-SUM($B30))/(B42+SUM($B36))</f>
        <v>-0.21402238</v>
      </c>
      <c r="C47" s="31">
        <f t="shared" ref="C47:L47" si="18">(C42-$B$14-SUM($B30:C30))/(C42+SUM($B36:C36))</f>
        <v>-0.05420982402</v>
      </c>
      <c r="D47" s="31">
        <f t="shared" si="18"/>
        <v>0.007986282429</v>
      </c>
      <c r="E47" s="31">
        <f t="shared" si="18"/>
        <v>0.04439035972</v>
      </c>
      <c r="F47" s="31">
        <f t="shared" si="18"/>
        <v>0.06954923035</v>
      </c>
      <c r="G47" s="31">
        <f t="shared" si="18"/>
        <v>0.08869223051</v>
      </c>
      <c r="H47" s="31">
        <f t="shared" si="18"/>
        <v>0.1052621524</v>
      </c>
      <c r="I47" s="31">
        <f t="shared" si="18"/>
        <v>0.1198849203</v>
      </c>
      <c r="J47" s="31">
        <f t="shared" si="18"/>
        <v>0.1330708183</v>
      </c>
      <c r="K47" s="31">
        <f t="shared" si="18"/>
        <v>0.1451618352</v>
      </c>
      <c r="L47" s="31">
        <f t="shared" si="18"/>
        <v>0.1564481155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2" t="s">
        <v>53</v>
      </c>
      <c r="B48" s="31">
        <f>(B42-$B$14-SUM($B31))/(B42+SUM($B36))</f>
        <v>-0.4049904713</v>
      </c>
      <c r="C48" s="31">
        <f t="shared" ref="C48:L48" si="19">(C42-$B$14-SUM($B31:C31))/(C42+SUM($B36:C36))</f>
        <v>-0.1487050553</v>
      </c>
      <c r="D48" s="31">
        <f t="shared" si="19"/>
        <v>-0.05320824494</v>
      </c>
      <c r="E48" s="31">
        <f t="shared" si="19"/>
        <v>0.00004536924208</v>
      </c>
      <c r="F48" s="31">
        <f t="shared" si="19"/>
        <v>0.03530147104</v>
      </c>
      <c r="G48" s="31">
        <f t="shared" si="19"/>
        <v>0.06115160388</v>
      </c>
      <c r="H48" s="31">
        <f t="shared" si="19"/>
        <v>0.08251358792</v>
      </c>
      <c r="I48" s="31">
        <f t="shared" si="19"/>
        <v>0.1007135127</v>
      </c>
      <c r="J48" s="31">
        <f t="shared" si="19"/>
        <v>0.1166634585</v>
      </c>
      <c r="K48" s="31">
        <f t="shared" si="19"/>
        <v>0.1309481203</v>
      </c>
      <c r="L48" s="31">
        <f t="shared" si="19"/>
        <v>0.1440133481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3" t="s">
        <v>25</v>
      </c>
      <c r="C49" s="21">
        <v>2176.0</v>
      </c>
      <c r="D49" s="21">
        <v>2177.0</v>
      </c>
      <c r="E49" s="21">
        <v>2178.0</v>
      </c>
      <c r="F49" s="21">
        <v>2179.0</v>
      </c>
      <c r="G49" s="21">
        <v>2180.0</v>
      </c>
      <c r="H49" s="21">
        <v>2181.0</v>
      </c>
      <c r="I49" s="21">
        <v>2182.0</v>
      </c>
      <c r="J49" s="21">
        <v>2183.0</v>
      </c>
      <c r="K49" s="21">
        <v>2184.0</v>
      </c>
      <c r="L49" s="21">
        <v>2185.0</v>
      </c>
      <c r="M49" s="21">
        <v>2186.0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3" t="s">
        <v>46</v>
      </c>
      <c r="C50" s="7">
        <f>49888219723.28/1000000000</f>
        <v>49.88821972</v>
      </c>
      <c r="D50" s="7">
        <f>52489840493.63/1000000000</f>
        <v>52.48984049</v>
      </c>
      <c r="E50" s="7">
        <f>55264684417.42/1000000000</f>
        <v>55.26468442</v>
      </c>
      <c r="F50" s="7">
        <f>58304827866.03/1000000000</f>
        <v>58.30482787</v>
      </c>
      <c r="G50" s="7">
        <f>61416871375.31/1000000000</f>
        <v>61.41687138</v>
      </c>
      <c r="H50" s="7">
        <f>64713851864.48/1000000000</f>
        <v>64.71385186</v>
      </c>
      <c r="I50" s="7">
        <f>68207662127.25/1000000000</f>
        <v>68.20766213</v>
      </c>
      <c r="J50" s="7">
        <f>71869185845.57/1000000000</f>
        <v>71.86918585</v>
      </c>
      <c r="K50" s="7">
        <f>75734612510.92/1000000000</f>
        <v>75.73461251</v>
      </c>
      <c r="L50" s="7">
        <f>79815678134.53/1000000000</f>
        <v>79.81567813</v>
      </c>
      <c r="M50" s="7">
        <f>84108500530.45/1000000000</f>
        <v>84.10850053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3" t="s">
        <v>18</v>
      </c>
      <c r="C51" s="22">
        <v>0.2101</v>
      </c>
      <c r="D51" s="22">
        <v>0.2078</v>
      </c>
      <c r="E51" s="22">
        <v>0.21</v>
      </c>
      <c r="F51" s="22">
        <v>0.2118</v>
      </c>
      <c r="G51" s="22">
        <v>0.2101</v>
      </c>
      <c r="H51" s="22">
        <v>0.2092</v>
      </c>
      <c r="I51" s="22">
        <v>0.2102</v>
      </c>
      <c r="J51" s="22">
        <v>0.2102</v>
      </c>
      <c r="K51" s="22">
        <v>0.2102</v>
      </c>
      <c r="L51" s="22">
        <v>0.2101</v>
      </c>
      <c r="M51" s="22">
        <v>0.2099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>
        <v>0.95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1.22" defaultRowHeight="15.0"/>
  <cols>
    <col customWidth="1" min="1" max="1" width="31.67"/>
    <col customWidth="1" min="2" max="2" width="16.33"/>
    <col customWidth="1" min="3" max="3" width="14.78"/>
    <col customWidth="1" min="4" max="4" width="18.78"/>
    <col customWidth="1" min="5" max="5" width="16.0"/>
    <col customWidth="1" min="6" max="8" width="18.33"/>
    <col customWidth="1" min="9" max="9" width="28.33"/>
    <col customWidth="1" min="10" max="10" width="18.33"/>
    <col customWidth="1" min="11" max="11" width="24.67"/>
    <col customWidth="1" min="12" max="12" width="28.67"/>
    <col customWidth="1" min="13" max="13" width="29.67"/>
    <col customWidth="1" min="14" max="16" width="10.78"/>
    <col customWidth="1" min="17" max="17" width="21.0"/>
    <col customWidth="1" min="18" max="26" width="10.56"/>
  </cols>
  <sheetData>
    <row r="1" ht="15.75" customHeight="1">
      <c r="A1" s="2" t="s">
        <v>54</v>
      </c>
      <c r="B1" s="2">
        <v>35000.0</v>
      </c>
      <c r="C1" s="2"/>
      <c r="D1" s="2"/>
      <c r="E1" s="10"/>
      <c r="F1" s="10"/>
      <c r="G1" s="2"/>
      <c r="H1" s="2"/>
      <c r="I1" s="2" t="s">
        <v>55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10"/>
      <c r="F2" s="10"/>
      <c r="G2" s="2"/>
      <c r="H2" s="2"/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/>
      <c r="O2" s="2"/>
      <c r="P2" s="11">
        <v>0.03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10"/>
      <c r="F3" s="10"/>
      <c r="G3" s="2"/>
      <c r="H3" s="2"/>
      <c r="I3" s="33">
        <v>2160.0</v>
      </c>
      <c r="J3" s="9">
        <v>0.037694526796428575</v>
      </c>
      <c r="K3" s="9">
        <v>0.0015175498082191765</v>
      </c>
      <c r="L3" s="9">
        <v>0.0024138414842191764</v>
      </c>
      <c r="M3" s="9">
        <v>0.03112408563435918</v>
      </c>
      <c r="N3" s="2"/>
      <c r="O3" s="2"/>
      <c r="P3" s="11">
        <v>0.0295</v>
      </c>
      <c r="Q3" s="34">
        <f t="shared" ref="Q3:Q13" si="1">(P3-P2)</f>
        <v>-0.0005</v>
      </c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61</v>
      </c>
      <c r="B4" s="2" t="s">
        <v>54</v>
      </c>
      <c r="C4" s="2" t="s">
        <v>1</v>
      </c>
      <c r="D4" s="2" t="s">
        <v>2</v>
      </c>
      <c r="E4" s="10"/>
      <c r="F4" s="10"/>
      <c r="G4" s="2"/>
      <c r="H4" s="2"/>
      <c r="I4" s="33">
        <v>2161.0</v>
      </c>
      <c r="J4" s="9">
        <v>0.023173022985428574</v>
      </c>
      <c r="K4" s="9">
        <v>0.0019996170491803225</v>
      </c>
      <c r="L4" s="9">
        <v>0.002392136118980322</v>
      </c>
      <c r="M4" s="9">
        <v>0.02076300661018032</v>
      </c>
      <c r="N4" s="2"/>
      <c r="O4" s="2"/>
      <c r="P4" s="11">
        <v>0.0302</v>
      </c>
      <c r="Q4" s="34">
        <f t="shared" si="1"/>
        <v>0.0007</v>
      </c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62</v>
      </c>
      <c r="B5" s="2">
        <v>6003.0</v>
      </c>
      <c r="C5" s="13">
        <v>0.01</v>
      </c>
      <c r="D5" s="13">
        <v>0.1</v>
      </c>
      <c r="E5" s="10"/>
      <c r="F5" s="10"/>
      <c r="G5" s="2"/>
      <c r="H5" s="2"/>
      <c r="I5" s="33">
        <v>2162.0</v>
      </c>
      <c r="J5" s="9">
        <v>0.014768714532000004</v>
      </c>
      <c r="K5" s="9">
        <v>0.0016286848000000016</v>
      </c>
      <c r="L5" s="9">
        <v>0.0019298700931000016</v>
      </c>
      <c r="M5" s="9">
        <v>0.027251167612330006</v>
      </c>
      <c r="N5" s="2"/>
      <c r="O5" s="2"/>
      <c r="P5" s="11">
        <v>0.0323</v>
      </c>
      <c r="Q5" s="34">
        <f t="shared" si="1"/>
        <v>0.0021</v>
      </c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63</v>
      </c>
      <c r="B6" s="2">
        <v>1205.0</v>
      </c>
      <c r="C6" s="13">
        <v>0.06</v>
      </c>
      <c r="D6" s="13">
        <v>0.1</v>
      </c>
      <c r="E6" s="10"/>
      <c r="F6" s="10"/>
      <c r="G6" s="2"/>
      <c r="H6" s="2"/>
      <c r="I6" s="33">
        <v>2163.0</v>
      </c>
      <c r="J6" s="9">
        <v>0.010826943980142861</v>
      </c>
      <c r="K6" s="9">
        <v>0.0013475138630136983</v>
      </c>
      <c r="L6" s="9">
        <v>0.0017443105410536984</v>
      </c>
      <c r="M6" s="9">
        <v>0.028728069672213696</v>
      </c>
      <c r="N6" s="2"/>
      <c r="O6" s="2"/>
      <c r="P6" s="11">
        <v>0.0307</v>
      </c>
      <c r="Q6" s="34">
        <f t="shared" si="1"/>
        <v>-0.0016</v>
      </c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64</v>
      </c>
      <c r="B7" s="2">
        <v>19790.0</v>
      </c>
      <c r="C7" s="13">
        <v>0.1</v>
      </c>
      <c r="D7" s="13">
        <v>0.1</v>
      </c>
      <c r="E7" s="10"/>
      <c r="F7" s="10"/>
      <c r="G7" s="2"/>
      <c r="H7" s="2"/>
      <c r="I7" s="33">
        <v>2164.0</v>
      </c>
      <c r="J7" s="9">
        <v>0.002161934595000001</v>
      </c>
      <c r="K7" s="9">
        <v>0.0018932383123287657</v>
      </c>
      <c r="L7" s="9">
        <v>0.0040306069286487655</v>
      </c>
      <c r="M7" s="9">
        <v>0.024318066163208765</v>
      </c>
      <c r="N7" s="2"/>
      <c r="O7" s="2"/>
      <c r="P7" s="11">
        <v>0.031</v>
      </c>
      <c r="Q7" s="34">
        <f t="shared" si="1"/>
        <v>0.0003</v>
      </c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65</v>
      </c>
      <c r="B8" s="2">
        <v>8811.0</v>
      </c>
      <c r="C8" s="13">
        <v>0.03</v>
      </c>
      <c r="D8" s="13">
        <v>0.1</v>
      </c>
      <c r="E8" s="10"/>
      <c r="F8" s="10"/>
      <c r="G8" s="2"/>
      <c r="H8" s="2"/>
      <c r="I8" s="33">
        <v>2165.0</v>
      </c>
      <c r="J8" s="9">
        <v>0.007067332722857146</v>
      </c>
      <c r="K8" s="9">
        <v>0.004808207081967217</v>
      </c>
      <c r="L8" s="9">
        <v>0.007199664652527217</v>
      </c>
      <c r="M8" s="9">
        <v>0.020919444851967218</v>
      </c>
      <c r="N8" s="2"/>
      <c r="O8" s="2"/>
      <c r="P8" s="11">
        <v>0.0313</v>
      </c>
      <c r="Q8" s="34">
        <f t="shared" si="1"/>
        <v>0.0003</v>
      </c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10"/>
      <c r="F9" s="10"/>
      <c r="G9" s="2"/>
      <c r="H9" s="2"/>
      <c r="I9" s="33">
        <v>2166.0</v>
      </c>
      <c r="J9" s="9">
        <v>0.015508568856857145</v>
      </c>
      <c r="K9" s="9">
        <v>0.012019182369146045</v>
      </c>
      <c r="L9" s="9">
        <v>0.014152419484316047</v>
      </c>
      <c r="M9" s="9">
        <v>0.027045913723146044</v>
      </c>
      <c r="N9" s="2"/>
      <c r="O9" s="2"/>
      <c r="P9" s="11">
        <v>0.031</v>
      </c>
      <c r="Q9" s="34">
        <f t="shared" si="1"/>
        <v>-0.0003</v>
      </c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>
        <v>2175.0</v>
      </c>
      <c r="B10" s="10"/>
      <c r="C10" s="10" t="s">
        <v>12</v>
      </c>
      <c r="D10" s="2"/>
      <c r="E10" s="10"/>
      <c r="F10" s="10"/>
      <c r="G10" s="2"/>
      <c r="H10" s="2"/>
      <c r="I10" s="33">
        <v>2167.0</v>
      </c>
      <c r="J10" s="9">
        <v>0.021555430738285718</v>
      </c>
      <c r="K10" s="9">
        <v>0.020303170424242446</v>
      </c>
      <c r="L10" s="9">
        <v>0.021799728471742445</v>
      </c>
      <c r="M10" s="9">
        <v>0.032582581474742446</v>
      </c>
      <c r="N10" s="2"/>
      <c r="O10" s="2"/>
      <c r="P10" s="11">
        <v>0.0311</v>
      </c>
      <c r="Q10" s="34">
        <f t="shared" si="1"/>
        <v>0.0001</v>
      </c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5" t="s">
        <v>13</v>
      </c>
      <c r="B11" s="36">
        <f>F11/B1</f>
        <v>112.7274286</v>
      </c>
      <c r="C11" s="10"/>
      <c r="D11" s="2"/>
      <c r="E11" s="37" t="s">
        <v>15</v>
      </c>
      <c r="F11" s="36">
        <v>3945460.0</v>
      </c>
      <c r="G11" s="2"/>
      <c r="H11" s="2"/>
      <c r="I11" s="33">
        <v>2168.0</v>
      </c>
      <c r="J11" s="9">
        <v>0.018084746500000002</v>
      </c>
      <c r="K11" s="9">
        <v>0.024190284111553745</v>
      </c>
      <c r="L11" s="9">
        <v>0.023010827374513744</v>
      </c>
      <c r="M11" s="9">
        <v>0.023993532789553747</v>
      </c>
      <c r="N11" s="2"/>
      <c r="O11" s="2"/>
      <c r="P11" s="11">
        <v>0.0312</v>
      </c>
      <c r="Q11" s="34">
        <f t="shared" si="1"/>
        <v>0.0001</v>
      </c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7" t="s">
        <v>62</v>
      </c>
      <c r="B12" s="36">
        <f>B11/(0.89)</f>
        <v>126.6600321</v>
      </c>
      <c r="C12" s="10">
        <f t="shared" ref="C12:C15" si="2">B12*B5</f>
        <v>760340.1727</v>
      </c>
      <c r="D12" s="2"/>
      <c r="E12" s="37" t="s">
        <v>16</v>
      </c>
      <c r="F12" s="36">
        <f>SUM(C12:C15)</f>
        <v>4852301.868</v>
      </c>
      <c r="G12" s="2" t="s">
        <v>66</v>
      </c>
      <c r="H12" s="13"/>
      <c r="I12" s="33">
        <v>2169.0</v>
      </c>
      <c r="J12" s="9">
        <v>0.007337781802142859</v>
      </c>
      <c r="K12" s="9">
        <v>0.0043032553359683865</v>
      </c>
      <c r="L12" s="9">
        <v>0.0043032553359683865</v>
      </c>
      <c r="M12" s="9">
        <v>0.009503255335968387</v>
      </c>
      <c r="N12" s="2"/>
      <c r="O12" s="2"/>
      <c r="P12" s="11">
        <v>0.0311</v>
      </c>
      <c r="Q12" s="34">
        <f t="shared" si="1"/>
        <v>-0.0001</v>
      </c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7" t="s">
        <v>63</v>
      </c>
      <c r="B13" s="36">
        <f>B11/(0.84)</f>
        <v>134.1993197</v>
      </c>
      <c r="C13" s="10">
        <f t="shared" si="2"/>
        <v>161710.1803</v>
      </c>
      <c r="D13" s="2"/>
      <c r="E13" s="37" t="s">
        <v>17</v>
      </c>
      <c r="F13" s="36">
        <f>(F12+G13)-F11</f>
        <v>1154340.165</v>
      </c>
      <c r="G13" s="10">
        <f>F12*M17</f>
        <v>247498.2968</v>
      </c>
      <c r="H13" s="13"/>
      <c r="I13" s="33">
        <v>2170.0</v>
      </c>
      <c r="J13" s="9">
        <v>0.029389208455999998</v>
      </c>
      <c r="K13" s="9">
        <v>0.0012531088888888848</v>
      </c>
      <c r="L13" s="9">
        <v>0.0014531088888888849</v>
      </c>
      <c r="M13" s="9">
        <v>0.014953108888888884</v>
      </c>
      <c r="N13" s="2"/>
      <c r="O13" s="2"/>
      <c r="P13" s="11">
        <v>0.0311</v>
      </c>
      <c r="Q13" s="34">
        <f t="shared" si="1"/>
        <v>0</v>
      </c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7" t="s">
        <v>64</v>
      </c>
      <c r="B14" s="36">
        <f>B11/0.8</f>
        <v>140.9092857</v>
      </c>
      <c r="C14" s="10">
        <f t="shared" si="2"/>
        <v>2788594.764</v>
      </c>
      <c r="D14" s="2"/>
      <c r="E14" s="37" t="s">
        <v>18</v>
      </c>
      <c r="F14" s="35">
        <f>F13/F12</f>
        <v>0.2378953734</v>
      </c>
      <c r="G14" s="2"/>
      <c r="H14" s="2"/>
      <c r="I14" s="33">
        <v>2171.0</v>
      </c>
      <c r="J14" s="9">
        <v>0.0708486612</v>
      </c>
      <c r="K14" s="9">
        <v>0.018250985151999993</v>
      </c>
      <c r="L14" s="9">
        <v>0.029350985151999992</v>
      </c>
      <c r="M14" s="9">
        <v>0.030850985151999993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7" t="s">
        <v>65</v>
      </c>
      <c r="B15" s="36">
        <f>B11/0.87</f>
        <v>129.571757</v>
      </c>
      <c r="C15" s="10">
        <f t="shared" si="2"/>
        <v>1141656.751</v>
      </c>
      <c r="D15" s="2"/>
      <c r="E15" s="10" t="s">
        <v>67</v>
      </c>
      <c r="F15" s="10">
        <v>0.95</v>
      </c>
      <c r="G15" s="2"/>
      <c r="H15" s="2"/>
      <c r="I15" s="33">
        <v>2172.0</v>
      </c>
      <c r="J15" s="9">
        <v>0.05978654443364042</v>
      </c>
      <c r="K15" s="9">
        <v>0.05404764832000001</v>
      </c>
      <c r="L15" s="9">
        <v>0.05454764832000001</v>
      </c>
      <c r="M15" s="9">
        <v>0.04334764832000001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10"/>
      <c r="F16" s="10"/>
      <c r="G16" s="2"/>
      <c r="H16" s="2"/>
      <c r="I16" s="33">
        <v>2173.0</v>
      </c>
      <c r="J16" s="9">
        <v>0.02763443643079875</v>
      </c>
      <c r="K16" s="9">
        <v>0.05736271094820714</v>
      </c>
      <c r="L16" s="9">
        <v>0.05276271094820714</v>
      </c>
      <c r="M16" s="9">
        <v>0.047962710948207136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19</v>
      </c>
      <c r="B17" s="14" t="s">
        <v>20</v>
      </c>
      <c r="C17" s="2" t="s">
        <v>21</v>
      </c>
      <c r="D17" s="2"/>
      <c r="E17" s="10"/>
      <c r="F17" s="10"/>
      <c r="G17" s="2"/>
      <c r="H17" s="2"/>
      <c r="I17" s="33">
        <v>2174.0</v>
      </c>
      <c r="J17" s="9">
        <v>0.023905736589285704</v>
      </c>
      <c r="K17" s="9">
        <v>0.050506368421052765</v>
      </c>
      <c r="L17" s="9">
        <v>0.047406368421052766</v>
      </c>
      <c r="M17" s="9">
        <v>0.051006368421052765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22</v>
      </c>
      <c r="B18" s="13">
        <v>0.25</v>
      </c>
      <c r="C18" s="14">
        <f t="shared" ref="C18:C20" si="3">B18/10</f>
        <v>0.025</v>
      </c>
      <c r="D18" s="2"/>
      <c r="E18" s="10"/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23</v>
      </c>
      <c r="B19" s="13">
        <v>0.25</v>
      </c>
      <c r="C19" s="14">
        <f t="shared" si="3"/>
        <v>0.025</v>
      </c>
      <c r="D19" s="2"/>
      <c r="E19" s="10"/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24</v>
      </c>
      <c r="B20" s="13">
        <v>0.15</v>
      </c>
      <c r="C20" s="14">
        <f t="shared" si="3"/>
        <v>0.015</v>
      </c>
      <c r="D20" s="2"/>
      <c r="E20" s="10"/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68</v>
      </c>
      <c r="B21" s="13"/>
      <c r="C21" s="14">
        <f>AVERAGE(C18:C20)</f>
        <v>0.02166666667</v>
      </c>
      <c r="D21" s="2"/>
      <c r="E21" s="10"/>
      <c r="F21" s="1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10"/>
      <c r="F22" s="1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10"/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7" t="s">
        <v>69</v>
      </c>
      <c r="B24" s="37"/>
      <c r="C24" s="37"/>
      <c r="D24" s="37" t="s">
        <v>70</v>
      </c>
      <c r="E24" s="36"/>
      <c r="F24" s="1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7" t="s">
        <v>71</v>
      </c>
      <c r="B25" s="37"/>
      <c r="C25" s="37"/>
      <c r="D25" s="37" t="s">
        <v>72</v>
      </c>
      <c r="E25" s="36"/>
      <c r="F25" s="1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7" t="s">
        <v>73</v>
      </c>
      <c r="B26" s="37"/>
      <c r="C26" s="37"/>
      <c r="D26" s="37" t="s">
        <v>72</v>
      </c>
      <c r="E26" s="36"/>
      <c r="F26" s="1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7" t="s">
        <v>74</v>
      </c>
      <c r="B27" s="37"/>
      <c r="C27" s="37"/>
      <c r="D27" s="38" t="s">
        <v>75</v>
      </c>
      <c r="E27" s="36"/>
      <c r="F27" s="1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10"/>
      <c r="F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10"/>
      <c r="F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25</v>
      </c>
      <c r="B30" s="33">
        <v>2176.0</v>
      </c>
      <c r="C30" s="33">
        <v>2177.0</v>
      </c>
      <c r="D30" s="33">
        <f t="shared" ref="D30:L30" si="4">C30+1</f>
        <v>2178</v>
      </c>
      <c r="E30" s="33">
        <f t="shared" si="4"/>
        <v>2179</v>
      </c>
      <c r="F30" s="33">
        <f t="shared" si="4"/>
        <v>2180</v>
      </c>
      <c r="G30" s="33">
        <f t="shared" si="4"/>
        <v>2181</v>
      </c>
      <c r="H30" s="33">
        <f t="shared" si="4"/>
        <v>2182</v>
      </c>
      <c r="I30" s="33">
        <f t="shared" si="4"/>
        <v>2183</v>
      </c>
      <c r="J30" s="33">
        <f t="shared" si="4"/>
        <v>2184</v>
      </c>
      <c r="K30" s="33">
        <f t="shared" si="4"/>
        <v>2185</v>
      </c>
      <c r="L30" s="33">
        <f t="shared" si="4"/>
        <v>2186</v>
      </c>
      <c r="M30" s="33"/>
      <c r="N30" s="33"/>
      <c r="O30" s="33"/>
      <c r="P30" s="33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26</v>
      </c>
      <c r="B31" s="11">
        <v>0.0371</v>
      </c>
      <c r="C31" s="11">
        <v>0.0295</v>
      </c>
      <c r="D31" s="11">
        <v>0.0302</v>
      </c>
      <c r="E31" s="11">
        <v>0.0323</v>
      </c>
      <c r="F31" s="11">
        <v>0.0307</v>
      </c>
      <c r="G31" s="11">
        <v>0.031</v>
      </c>
      <c r="H31" s="11">
        <v>0.0313</v>
      </c>
      <c r="I31" s="11">
        <v>0.031</v>
      </c>
      <c r="J31" s="11">
        <v>0.0311</v>
      </c>
      <c r="K31" s="11">
        <v>0.0312</v>
      </c>
      <c r="L31" s="11">
        <v>0.0311</v>
      </c>
      <c r="M31" s="1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27</v>
      </c>
      <c r="B32" s="11">
        <v>0.0376</v>
      </c>
      <c r="C32" s="11">
        <v>0.0422</v>
      </c>
      <c r="D32" s="11">
        <v>0.0444</v>
      </c>
      <c r="E32" s="11">
        <v>0.0446</v>
      </c>
      <c r="F32" s="11">
        <v>0.044</v>
      </c>
      <c r="G32" s="11">
        <v>0.0426</v>
      </c>
      <c r="H32" s="11">
        <v>0.0436</v>
      </c>
      <c r="I32" s="11">
        <v>0.0438</v>
      </c>
      <c r="J32" s="11">
        <v>0.0437</v>
      </c>
      <c r="K32" s="11">
        <v>0.0435</v>
      </c>
      <c r="L32" s="11">
        <v>0.0434</v>
      </c>
      <c r="M32" s="1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9" t="s">
        <v>28</v>
      </c>
      <c r="B33" s="39">
        <v>3156698.0</v>
      </c>
      <c r="C33" s="40">
        <v>4399936.629604101</v>
      </c>
      <c r="D33" s="40">
        <v>4632536.639566145</v>
      </c>
      <c r="E33" s="40">
        <v>4887375.259630662</v>
      </c>
      <c r="F33" s="40">
        <v>5148240.869063553</v>
      </c>
      <c r="G33" s="40">
        <v>5424608.735396624</v>
      </c>
      <c r="H33" s="40">
        <v>5717475.766568459</v>
      </c>
      <c r="I33" s="40">
        <v>6024401.300669386</v>
      </c>
      <c r="J33" s="40">
        <v>6348418.905104849</v>
      </c>
      <c r="K33" s="40">
        <v>6690512.34559289</v>
      </c>
      <c r="L33" s="40">
        <v>7050356.199690727</v>
      </c>
      <c r="M33" s="41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39" t="s">
        <v>29</v>
      </c>
      <c r="B34" s="40">
        <v>4181856.970452</v>
      </c>
      <c r="C34" s="40">
        <v>4399936.629604101</v>
      </c>
      <c r="D34" s="40">
        <v>4632536.639566145</v>
      </c>
      <c r="E34" s="40">
        <v>4887375.259630662</v>
      </c>
      <c r="F34" s="40">
        <v>5148240.869063553</v>
      </c>
      <c r="G34" s="40">
        <v>5424608.735396624</v>
      </c>
      <c r="H34" s="40">
        <v>5717475.766568459</v>
      </c>
      <c r="I34" s="40">
        <v>6024401.300669386</v>
      </c>
      <c r="J34" s="40">
        <v>6348418.905104849</v>
      </c>
      <c r="K34" s="40">
        <v>6690512.34559289</v>
      </c>
      <c r="L34" s="40">
        <v>7050356.199690727</v>
      </c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5.75" customHeight="1">
      <c r="A35" s="39" t="s">
        <v>30</v>
      </c>
      <c r="B35" s="39">
        <v>5008028.0</v>
      </c>
      <c r="C35" s="40">
        <v>4399936.629604101</v>
      </c>
      <c r="D35" s="40">
        <v>4632536.639566145</v>
      </c>
      <c r="E35" s="40">
        <v>4887375.259630662</v>
      </c>
      <c r="F35" s="40">
        <v>5148240.869063553</v>
      </c>
      <c r="G35" s="40">
        <v>5424608.735396624</v>
      </c>
      <c r="H35" s="40">
        <v>5717475.766568459</v>
      </c>
      <c r="I35" s="40">
        <v>6024401.300669386</v>
      </c>
      <c r="J35" s="40">
        <v>6348418.905104849</v>
      </c>
      <c r="K35" s="40">
        <v>6690512.34559289</v>
      </c>
      <c r="L35" s="40">
        <v>7050356.199690727</v>
      </c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5.75" customHeight="1">
      <c r="A36" s="39" t="s">
        <v>31</v>
      </c>
      <c r="B36" s="39">
        <v>7116321.0</v>
      </c>
      <c r="C36" s="40">
        <v>4399936.629604101</v>
      </c>
      <c r="D36" s="40">
        <v>4632536.639566145</v>
      </c>
      <c r="E36" s="40">
        <v>4887375.259630662</v>
      </c>
      <c r="F36" s="40">
        <v>5148240.869063553</v>
      </c>
      <c r="G36" s="40">
        <v>5424608.735396624</v>
      </c>
      <c r="H36" s="40">
        <v>5717475.766568459</v>
      </c>
      <c r="I36" s="40">
        <v>6024401.300669386</v>
      </c>
      <c r="J36" s="40">
        <v>6348418.905104849</v>
      </c>
      <c r="K36" s="40">
        <v>6690512.34559289</v>
      </c>
      <c r="L36" s="40">
        <v>7050356.199690727</v>
      </c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5.75" customHeight="1">
      <c r="A37" s="39" t="s">
        <v>50</v>
      </c>
      <c r="B37" s="39">
        <v>8868728.0</v>
      </c>
      <c r="C37" s="40">
        <v>4399936.629604101</v>
      </c>
      <c r="D37" s="40">
        <v>4632536.639566145</v>
      </c>
      <c r="E37" s="40">
        <v>4887375.259630662</v>
      </c>
      <c r="F37" s="40">
        <v>5148240.869063553</v>
      </c>
      <c r="G37" s="40">
        <v>5424608.735396624</v>
      </c>
      <c r="H37" s="40">
        <v>5717475.766568459</v>
      </c>
      <c r="I37" s="40">
        <v>6024401.300669386</v>
      </c>
      <c r="J37" s="40">
        <v>6348418.905104849</v>
      </c>
      <c r="K37" s="40">
        <v>6690512.34559289</v>
      </c>
      <c r="L37" s="40">
        <v>7050356.199690727</v>
      </c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5.75" customHeight="1">
      <c r="A38" s="2" t="s">
        <v>76</v>
      </c>
      <c r="B38" s="2">
        <f t="shared" ref="B38:B41" si="6">B5</f>
        <v>6003</v>
      </c>
      <c r="C38" s="42">
        <f t="shared" ref="C38:L38" si="5">B38*(1+1%)</f>
        <v>6063.03</v>
      </c>
      <c r="D38" s="42">
        <f t="shared" si="5"/>
        <v>6123.6603</v>
      </c>
      <c r="E38" s="42">
        <f t="shared" si="5"/>
        <v>6184.896903</v>
      </c>
      <c r="F38" s="42">
        <f t="shared" si="5"/>
        <v>6246.745872</v>
      </c>
      <c r="G38" s="42">
        <f t="shared" si="5"/>
        <v>6309.213331</v>
      </c>
      <c r="H38" s="42">
        <f t="shared" si="5"/>
        <v>6372.305464</v>
      </c>
      <c r="I38" s="42">
        <f t="shared" si="5"/>
        <v>6436.028519</v>
      </c>
      <c r="J38" s="42">
        <f t="shared" si="5"/>
        <v>6500.388804</v>
      </c>
      <c r="K38" s="42">
        <f t="shared" si="5"/>
        <v>6565.392692</v>
      </c>
      <c r="L38" s="42">
        <f t="shared" si="5"/>
        <v>6631.046619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77</v>
      </c>
      <c r="B39" s="2">
        <f t="shared" si="6"/>
        <v>1205</v>
      </c>
      <c r="C39" s="42">
        <f t="shared" ref="C39:L39" si="7">B39*(1+1%)</f>
        <v>1217.05</v>
      </c>
      <c r="D39" s="42">
        <f t="shared" si="7"/>
        <v>1229.2205</v>
      </c>
      <c r="E39" s="42">
        <f t="shared" si="7"/>
        <v>1241.512705</v>
      </c>
      <c r="F39" s="42">
        <f t="shared" si="7"/>
        <v>1253.927832</v>
      </c>
      <c r="G39" s="42">
        <f t="shared" si="7"/>
        <v>1266.46711</v>
      </c>
      <c r="H39" s="42">
        <f t="shared" si="7"/>
        <v>1279.131781</v>
      </c>
      <c r="I39" s="42">
        <f t="shared" si="7"/>
        <v>1291.923099</v>
      </c>
      <c r="J39" s="42">
        <f t="shared" si="7"/>
        <v>1304.84233</v>
      </c>
      <c r="K39" s="42">
        <f t="shared" si="7"/>
        <v>1317.890754</v>
      </c>
      <c r="L39" s="42">
        <f t="shared" si="7"/>
        <v>1331.069661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78</v>
      </c>
      <c r="B40" s="2">
        <f t="shared" si="6"/>
        <v>19790</v>
      </c>
      <c r="C40" s="42">
        <f t="shared" ref="C40:L40" si="8">B40*(1+1%)</f>
        <v>19987.9</v>
      </c>
      <c r="D40" s="42">
        <f t="shared" si="8"/>
        <v>20187.779</v>
      </c>
      <c r="E40" s="42">
        <f t="shared" si="8"/>
        <v>20389.65679</v>
      </c>
      <c r="F40" s="42">
        <f t="shared" si="8"/>
        <v>20593.55336</v>
      </c>
      <c r="G40" s="42">
        <f t="shared" si="8"/>
        <v>20799.48889</v>
      </c>
      <c r="H40" s="42">
        <f t="shared" si="8"/>
        <v>21007.48378</v>
      </c>
      <c r="I40" s="42">
        <f t="shared" si="8"/>
        <v>21217.55862</v>
      </c>
      <c r="J40" s="42">
        <f t="shared" si="8"/>
        <v>21429.7342</v>
      </c>
      <c r="K40" s="42">
        <f t="shared" si="8"/>
        <v>21644.03155</v>
      </c>
      <c r="L40" s="42">
        <f t="shared" si="8"/>
        <v>21860.47186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79</v>
      </c>
      <c r="B41" s="2">
        <f t="shared" si="6"/>
        <v>8811</v>
      </c>
      <c r="C41" s="42">
        <f t="shared" ref="C41:L41" si="9">B41*(1+1%)</f>
        <v>8899.11</v>
      </c>
      <c r="D41" s="42">
        <f t="shared" si="9"/>
        <v>8988.1011</v>
      </c>
      <c r="E41" s="42">
        <f t="shared" si="9"/>
        <v>9077.982111</v>
      </c>
      <c r="F41" s="42">
        <f t="shared" si="9"/>
        <v>9168.761932</v>
      </c>
      <c r="G41" s="42">
        <f t="shared" si="9"/>
        <v>9260.449551</v>
      </c>
      <c r="H41" s="42">
        <f t="shared" si="9"/>
        <v>9353.054047</v>
      </c>
      <c r="I41" s="42">
        <f t="shared" si="9"/>
        <v>9446.584587</v>
      </c>
      <c r="J41" s="42">
        <f t="shared" si="9"/>
        <v>9541.050433</v>
      </c>
      <c r="K41" s="42">
        <f t="shared" si="9"/>
        <v>9636.460938</v>
      </c>
      <c r="L41" s="42">
        <f t="shared" si="9"/>
        <v>9732.825547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80</v>
      </c>
      <c r="B42" s="2">
        <f>SUM(B38:B41)</f>
        <v>35809</v>
      </c>
      <c r="C42" s="42">
        <f t="shared" ref="C42:L42" si="10">B42*(1+1%)</f>
        <v>36167.09</v>
      </c>
      <c r="D42" s="42">
        <f t="shared" si="10"/>
        <v>36528.7609</v>
      </c>
      <c r="E42" s="42">
        <f t="shared" si="10"/>
        <v>36894.04851</v>
      </c>
      <c r="F42" s="42">
        <f t="shared" si="10"/>
        <v>37262.98899</v>
      </c>
      <c r="G42" s="42">
        <f t="shared" si="10"/>
        <v>37635.61888</v>
      </c>
      <c r="H42" s="42">
        <f t="shared" si="10"/>
        <v>38011.97507</v>
      </c>
      <c r="I42" s="42">
        <f t="shared" si="10"/>
        <v>38392.09482</v>
      </c>
      <c r="J42" s="42">
        <f t="shared" si="10"/>
        <v>38776.01577</v>
      </c>
      <c r="K42" s="42">
        <f t="shared" si="10"/>
        <v>39163.77593</v>
      </c>
      <c r="L42" s="42">
        <f t="shared" si="10"/>
        <v>39555.41369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3" t="s">
        <v>33</v>
      </c>
      <c r="B43" s="43">
        <f t="shared" ref="B43:L43" si="11">(B34/B42)*(1+B31)</f>
        <v>121.1149114</v>
      </c>
      <c r="C43" s="43">
        <f t="shared" si="11"/>
        <v>125.2446564</v>
      </c>
      <c r="D43" s="43">
        <f t="shared" si="11"/>
        <v>130.6488128</v>
      </c>
      <c r="E43" s="43">
        <f t="shared" si="11"/>
        <v>136.7493589</v>
      </c>
      <c r="F43" s="43">
        <f t="shared" si="11"/>
        <v>142.4011333</v>
      </c>
      <c r="G43" s="43">
        <f t="shared" si="11"/>
        <v>148.6031523</v>
      </c>
      <c r="H43" s="43">
        <f t="shared" si="11"/>
        <v>155.1203995</v>
      </c>
      <c r="I43" s="43">
        <f t="shared" si="11"/>
        <v>161.7822046</v>
      </c>
      <c r="J43" s="43">
        <f t="shared" si="11"/>
        <v>168.8119474</v>
      </c>
      <c r="K43" s="43">
        <f t="shared" si="11"/>
        <v>176.1642275</v>
      </c>
      <c r="L43" s="43">
        <f t="shared" si="11"/>
        <v>183.7832448</v>
      </c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5.75" customHeight="1">
      <c r="A44" s="2" t="s">
        <v>34</v>
      </c>
      <c r="B44" s="17">
        <f t="shared" ref="B44:L44" si="12">(1-$D$5-$C$5)</f>
        <v>0.89</v>
      </c>
      <c r="C44" s="17">
        <f t="shared" si="12"/>
        <v>0.89</v>
      </c>
      <c r="D44" s="17">
        <f t="shared" si="12"/>
        <v>0.89</v>
      </c>
      <c r="E44" s="17">
        <f t="shared" si="12"/>
        <v>0.89</v>
      </c>
      <c r="F44" s="17">
        <f t="shared" si="12"/>
        <v>0.89</v>
      </c>
      <c r="G44" s="17">
        <f t="shared" si="12"/>
        <v>0.89</v>
      </c>
      <c r="H44" s="17">
        <f t="shared" si="12"/>
        <v>0.89</v>
      </c>
      <c r="I44" s="17">
        <f t="shared" si="12"/>
        <v>0.89</v>
      </c>
      <c r="J44" s="17">
        <f t="shared" si="12"/>
        <v>0.89</v>
      </c>
      <c r="K44" s="17">
        <f t="shared" si="12"/>
        <v>0.89</v>
      </c>
      <c r="L44" s="17">
        <f t="shared" si="12"/>
        <v>0.89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81</v>
      </c>
      <c r="B45" s="44">
        <f t="shared" ref="B45:L45" si="13">1-$C$6-$D$6</f>
        <v>0.84</v>
      </c>
      <c r="C45" s="44">
        <f t="shared" si="13"/>
        <v>0.84</v>
      </c>
      <c r="D45" s="44">
        <f t="shared" si="13"/>
        <v>0.84</v>
      </c>
      <c r="E45" s="44">
        <f t="shared" si="13"/>
        <v>0.84</v>
      </c>
      <c r="F45" s="44">
        <f t="shared" si="13"/>
        <v>0.84</v>
      </c>
      <c r="G45" s="44">
        <f t="shared" si="13"/>
        <v>0.84</v>
      </c>
      <c r="H45" s="44">
        <f t="shared" si="13"/>
        <v>0.84</v>
      </c>
      <c r="I45" s="44">
        <f t="shared" si="13"/>
        <v>0.84</v>
      </c>
      <c r="J45" s="44">
        <f t="shared" si="13"/>
        <v>0.84</v>
      </c>
      <c r="K45" s="44">
        <f t="shared" si="13"/>
        <v>0.84</v>
      </c>
      <c r="L45" s="44">
        <f t="shared" si="13"/>
        <v>0.84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82</v>
      </c>
      <c r="B46" s="44">
        <f t="shared" ref="B46:L46" si="14">1-$C$7-$D$7</f>
        <v>0.8</v>
      </c>
      <c r="C46" s="44">
        <f t="shared" si="14"/>
        <v>0.8</v>
      </c>
      <c r="D46" s="44">
        <f t="shared" si="14"/>
        <v>0.8</v>
      </c>
      <c r="E46" s="44">
        <f t="shared" si="14"/>
        <v>0.8</v>
      </c>
      <c r="F46" s="44">
        <f t="shared" si="14"/>
        <v>0.8</v>
      </c>
      <c r="G46" s="44">
        <f t="shared" si="14"/>
        <v>0.8</v>
      </c>
      <c r="H46" s="44">
        <f t="shared" si="14"/>
        <v>0.8</v>
      </c>
      <c r="I46" s="44">
        <f t="shared" si="14"/>
        <v>0.8</v>
      </c>
      <c r="J46" s="44">
        <f t="shared" si="14"/>
        <v>0.8</v>
      </c>
      <c r="K46" s="44">
        <f t="shared" si="14"/>
        <v>0.8</v>
      </c>
      <c r="L46" s="44">
        <f t="shared" si="14"/>
        <v>0.8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83</v>
      </c>
      <c r="B47" s="44">
        <f t="shared" ref="B47:L47" si="15">1-$C$8-$D$8</f>
        <v>0.87</v>
      </c>
      <c r="C47" s="44">
        <f t="shared" si="15"/>
        <v>0.87</v>
      </c>
      <c r="D47" s="44">
        <f t="shared" si="15"/>
        <v>0.87</v>
      </c>
      <c r="E47" s="44">
        <f t="shared" si="15"/>
        <v>0.87</v>
      </c>
      <c r="F47" s="44">
        <f t="shared" si="15"/>
        <v>0.87</v>
      </c>
      <c r="G47" s="44">
        <f t="shared" si="15"/>
        <v>0.87</v>
      </c>
      <c r="H47" s="44">
        <f t="shared" si="15"/>
        <v>0.87</v>
      </c>
      <c r="I47" s="44">
        <f t="shared" si="15"/>
        <v>0.87</v>
      </c>
      <c r="J47" s="44">
        <f t="shared" si="15"/>
        <v>0.87</v>
      </c>
      <c r="K47" s="44">
        <f t="shared" si="15"/>
        <v>0.87</v>
      </c>
      <c r="L47" s="44">
        <f t="shared" si="15"/>
        <v>0.87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84</v>
      </c>
      <c r="B48" s="2">
        <f t="shared" ref="B48:L48" si="16">B43/B44</f>
        <v>136.0841702</v>
      </c>
      <c r="C48" s="2">
        <f t="shared" si="16"/>
        <v>140.724333</v>
      </c>
      <c r="D48" s="2">
        <f t="shared" si="16"/>
        <v>146.7964189</v>
      </c>
      <c r="E48" s="2">
        <f t="shared" si="16"/>
        <v>153.650965</v>
      </c>
      <c r="F48" s="2">
        <f t="shared" si="16"/>
        <v>160.0012734</v>
      </c>
      <c r="G48" s="2">
        <f t="shared" si="16"/>
        <v>166.9698341</v>
      </c>
      <c r="H48" s="2">
        <f t="shared" si="16"/>
        <v>174.2925837</v>
      </c>
      <c r="I48" s="2">
        <f t="shared" si="16"/>
        <v>181.777758</v>
      </c>
      <c r="J48" s="2">
        <f t="shared" si="16"/>
        <v>189.6763453</v>
      </c>
      <c r="K48" s="2">
        <f t="shared" si="16"/>
        <v>197.9373342</v>
      </c>
      <c r="L48" s="2">
        <f t="shared" si="16"/>
        <v>206.4980279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85</v>
      </c>
      <c r="B49" s="2">
        <f t="shared" ref="B49:L49" si="17">B43/B45</f>
        <v>144.1844184</v>
      </c>
      <c r="C49" s="2">
        <f t="shared" si="17"/>
        <v>149.1007814</v>
      </c>
      <c r="D49" s="2">
        <f t="shared" si="17"/>
        <v>155.534301</v>
      </c>
      <c r="E49" s="2">
        <f t="shared" si="17"/>
        <v>162.7968558</v>
      </c>
      <c r="F49" s="2">
        <f t="shared" si="17"/>
        <v>169.5251587</v>
      </c>
      <c r="G49" s="2">
        <f t="shared" si="17"/>
        <v>176.9085147</v>
      </c>
      <c r="H49" s="2">
        <f t="shared" si="17"/>
        <v>184.6671422</v>
      </c>
      <c r="I49" s="2">
        <f t="shared" si="17"/>
        <v>192.5978627</v>
      </c>
      <c r="J49" s="2">
        <f t="shared" si="17"/>
        <v>200.966604</v>
      </c>
      <c r="K49" s="2">
        <f t="shared" si="17"/>
        <v>209.7193184</v>
      </c>
      <c r="L49" s="2">
        <f t="shared" si="17"/>
        <v>218.7895772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86</v>
      </c>
      <c r="B50" s="2">
        <f t="shared" ref="B50:L50" si="18">B43/B46</f>
        <v>151.3936393</v>
      </c>
      <c r="C50" s="2">
        <f t="shared" si="18"/>
        <v>156.5558205</v>
      </c>
      <c r="D50" s="2">
        <f t="shared" si="18"/>
        <v>163.311016</v>
      </c>
      <c r="E50" s="2">
        <f t="shared" si="18"/>
        <v>170.9366986</v>
      </c>
      <c r="F50" s="2">
        <f t="shared" si="18"/>
        <v>178.0014167</v>
      </c>
      <c r="G50" s="2">
        <f t="shared" si="18"/>
        <v>185.7539404</v>
      </c>
      <c r="H50" s="2">
        <f t="shared" si="18"/>
        <v>193.9004993</v>
      </c>
      <c r="I50" s="2">
        <f t="shared" si="18"/>
        <v>202.2277558</v>
      </c>
      <c r="J50" s="2">
        <f t="shared" si="18"/>
        <v>211.0149342</v>
      </c>
      <c r="K50" s="2">
        <f t="shared" si="18"/>
        <v>220.2052843</v>
      </c>
      <c r="L50" s="2">
        <f t="shared" si="18"/>
        <v>229.729056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87</v>
      </c>
      <c r="B51" s="2">
        <f t="shared" ref="B51:L51" si="19">B43/B47</f>
        <v>139.2125419</v>
      </c>
      <c r="C51" s="2">
        <f t="shared" si="19"/>
        <v>143.9593752</v>
      </c>
      <c r="D51" s="2">
        <f t="shared" si="19"/>
        <v>150.1710492</v>
      </c>
      <c r="E51" s="2">
        <f t="shared" si="19"/>
        <v>157.1831711</v>
      </c>
      <c r="F51" s="2">
        <f t="shared" si="19"/>
        <v>163.6794636</v>
      </c>
      <c r="G51" s="2">
        <f t="shared" si="19"/>
        <v>170.8082211</v>
      </c>
      <c r="H51" s="2">
        <f t="shared" si="19"/>
        <v>178.2993097</v>
      </c>
      <c r="I51" s="2">
        <f t="shared" si="19"/>
        <v>185.956557</v>
      </c>
      <c r="J51" s="2">
        <f t="shared" si="19"/>
        <v>194.0367211</v>
      </c>
      <c r="K51" s="2">
        <f t="shared" si="19"/>
        <v>202.4876178</v>
      </c>
      <c r="L51" s="2">
        <f t="shared" si="19"/>
        <v>211.245109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88</v>
      </c>
      <c r="B52" s="2">
        <f t="shared" ref="B52:L52" si="20">B48*B38</f>
        <v>816913.2735</v>
      </c>
      <c r="C52" s="2">
        <f t="shared" si="20"/>
        <v>853215.8529</v>
      </c>
      <c r="D52" s="2">
        <f t="shared" si="20"/>
        <v>898931.4027</v>
      </c>
      <c r="E52" s="2">
        <f t="shared" si="20"/>
        <v>950315.3779</v>
      </c>
      <c r="F52" s="2">
        <f t="shared" si="20"/>
        <v>999487.2941</v>
      </c>
      <c r="G52" s="2">
        <f t="shared" si="20"/>
        <v>1053448.303</v>
      </c>
      <c r="H52" s="2">
        <f t="shared" si="20"/>
        <v>1110645.583</v>
      </c>
      <c r="I52" s="2">
        <f t="shared" si="20"/>
        <v>1169926.835</v>
      </c>
      <c r="J52" s="2">
        <f t="shared" si="20"/>
        <v>1232969.992</v>
      </c>
      <c r="K52" s="2">
        <f t="shared" si="20"/>
        <v>1299536.328</v>
      </c>
      <c r="L52" s="2">
        <f t="shared" si="20"/>
        <v>1369298.05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89</v>
      </c>
      <c r="B53" s="2">
        <f t="shared" ref="B53:L53" si="21">B49*B39</f>
        <v>173742.2242</v>
      </c>
      <c r="C53" s="2">
        <f t="shared" si="21"/>
        <v>181463.106</v>
      </c>
      <c r="D53" s="2">
        <f t="shared" si="21"/>
        <v>191185.9512</v>
      </c>
      <c r="E53" s="2">
        <f t="shared" si="21"/>
        <v>202114.3648</v>
      </c>
      <c r="F53" s="2">
        <f t="shared" si="21"/>
        <v>212572.3147</v>
      </c>
      <c r="G53" s="2">
        <f t="shared" si="21"/>
        <v>224048.8154</v>
      </c>
      <c r="H53" s="2">
        <f t="shared" si="21"/>
        <v>236213.6106</v>
      </c>
      <c r="I53" s="2">
        <f t="shared" si="21"/>
        <v>248821.6276</v>
      </c>
      <c r="J53" s="2">
        <f t="shared" si="21"/>
        <v>262229.7319</v>
      </c>
      <c r="K53" s="2">
        <f t="shared" si="21"/>
        <v>276387.1506</v>
      </c>
      <c r="L53" s="2">
        <f t="shared" si="21"/>
        <v>291224.1683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90</v>
      </c>
      <c r="B54" s="2">
        <f t="shared" ref="B54:L54" si="22">B50*B40</f>
        <v>2996080.122</v>
      </c>
      <c r="C54" s="2">
        <f t="shared" si="22"/>
        <v>3129222.085</v>
      </c>
      <c r="D54" s="2">
        <f t="shared" si="22"/>
        <v>3296886.7</v>
      </c>
      <c r="E54" s="2">
        <f t="shared" si="22"/>
        <v>3485340.618</v>
      </c>
      <c r="F54" s="2">
        <f t="shared" si="22"/>
        <v>3665681.672</v>
      </c>
      <c r="G54" s="2">
        <f t="shared" si="22"/>
        <v>3863587.02</v>
      </c>
      <c r="H54" s="2">
        <f t="shared" si="22"/>
        <v>4073361.595</v>
      </c>
      <c r="I54" s="2">
        <f t="shared" si="22"/>
        <v>4290779.263</v>
      </c>
      <c r="J54" s="2">
        <f t="shared" si="22"/>
        <v>4521993.953</v>
      </c>
      <c r="K54" s="2">
        <f t="shared" si="22"/>
        <v>4766130.12</v>
      </c>
      <c r="L54" s="2">
        <f t="shared" si="22"/>
        <v>5021985.565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91</v>
      </c>
      <c r="B55" s="2">
        <f t="shared" ref="B55:L55" si="23">B51*B41</f>
        <v>1226601.707</v>
      </c>
      <c r="C55" s="2">
        <f t="shared" si="23"/>
        <v>1281110.315</v>
      </c>
      <c r="D55" s="2">
        <f t="shared" si="23"/>
        <v>1349752.573</v>
      </c>
      <c r="E55" s="2">
        <f t="shared" si="23"/>
        <v>1426906.016</v>
      </c>
      <c r="F55" s="2">
        <f t="shared" si="23"/>
        <v>1500738.035</v>
      </c>
      <c r="G55" s="2">
        <f t="shared" si="23"/>
        <v>1581760.914</v>
      </c>
      <c r="H55" s="2">
        <f t="shared" si="23"/>
        <v>1667643.081</v>
      </c>
      <c r="I55" s="2">
        <f t="shared" si="23"/>
        <v>1756654.346</v>
      </c>
      <c r="J55" s="2">
        <f t="shared" si="23"/>
        <v>1851314.142</v>
      </c>
      <c r="K55" s="2">
        <f t="shared" si="23"/>
        <v>1951264.019</v>
      </c>
      <c r="L55" s="2">
        <f t="shared" si="23"/>
        <v>2056011.793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5" t="s">
        <v>92</v>
      </c>
      <c r="B56" s="45">
        <f t="shared" ref="B56:L56" si="24">SUM(B52:B55)</f>
        <v>5213337.326</v>
      </c>
      <c r="C56" s="45">
        <f t="shared" si="24"/>
        <v>5445011.359</v>
      </c>
      <c r="D56" s="45">
        <f t="shared" si="24"/>
        <v>5736756.627</v>
      </c>
      <c r="E56" s="45">
        <f t="shared" si="24"/>
        <v>6064676.376</v>
      </c>
      <c r="F56" s="45">
        <f t="shared" si="24"/>
        <v>6378479.315</v>
      </c>
      <c r="G56" s="45">
        <f t="shared" si="24"/>
        <v>6722845.053</v>
      </c>
      <c r="H56" s="45">
        <f t="shared" si="24"/>
        <v>7087863.869</v>
      </c>
      <c r="I56" s="45">
        <f t="shared" si="24"/>
        <v>7466182.071</v>
      </c>
      <c r="J56" s="45">
        <f t="shared" si="24"/>
        <v>7868507.818</v>
      </c>
      <c r="K56" s="45">
        <f t="shared" si="24"/>
        <v>8293317.617</v>
      </c>
      <c r="L56" s="45">
        <f t="shared" si="24"/>
        <v>8738519.576</v>
      </c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2" t="s">
        <v>93</v>
      </c>
      <c r="B57" s="2">
        <f t="shared" ref="B57:L57" si="25">B56*B32</f>
        <v>196021.4835</v>
      </c>
      <c r="C57" s="2">
        <f t="shared" si="25"/>
        <v>229779.4793</v>
      </c>
      <c r="D57" s="2">
        <f t="shared" si="25"/>
        <v>254711.9942</v>
      </c>
      <c r="E57" s="2">
        <f t="shared" si="25"/>
        <v>270484.5664</v>
      </c>
      <c r="F57" s="2">
        <f t="shared" si="25"/>
        <v>280653.0899</v>
      </c>
      <c r="G57" s="2">
        <f t="shared" si="25"/>
        <v>286393.1993</v>
      </c>
      <c r="H57" s="2">
        <f t="shared" si="25"/>
        <v>309030.8647</v>
      </c>
      <c r="I57" s="2">
        <f t="shared" si="25"/>
        <v>327018.7747</v>
      </c>
      <c r="J57" s="2">
        <f t="shared" si="25"/>
        <v>343853.7917</v>
      </c>
      <c r="K57" s="2">
        <f t="shared" si="25"/>
        <v>360759.3164</v>
      </c>
      <c r="L57" s="2">
        <f t="shared" si="25"/>
        <v>379251.7496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94</v>
      </c>
      <c r="B58" s="2">
        <f t="shared" ref="B58:L58" si="26">B56+B57</f>
        <v>5409358.81</v>
      </c>
      <c r="C58" s="2">
        <f t="shared" si="26"/>
        <v>5674790.838</v>
      </c>
      <c r="D58" s="2">
        <f t="shared" si="26"/>
        <v>5991468.621</v>
      </c>
      <c r="E58" s="2">
        <f t="shared" si="26"/>
        <v>6335160.942</v>
      </c>
      <c r="F58" s="2">
        <f t="shared" si="26"/>
        <v>6659132.405</v>
      </c>
      <c r="G58" s="2">
        <f t="shared" si="26"/>
        <v>7009238.252</v>
      </c>
      <c r="H58" s="2">
        <f t="shared" si="26"/>
        <v>7396894.734</v>
      </c>
      <c r="I58" s="2">
        <f t="shared" si="26"/>
        <v>7793200.845</v>
      </c>
      <c r="J58" s="2">
        <f t="shared" si="26"/>
        <v>8212361.61</v>
      </c>
      <c r="K58" s="2">
        <f t="shared" si="26"/>
        <v>8654076.934</v>
      </c>
      <c r="L58" s="2">
        <f t="shared" si="26"/>
        <v>9117771.326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6" t="s">
        <v>95</v>
      </c>
      <c r="B59" s="47">
        <f t="shared" ref="B59:L59" si="27">B58-B34</f>
        <v>1227501.839</v>
      </c>
      <c r="C59" s="47">
        <f t="shared" si="27"/>
        <v>1274854.209</v>
      </c>
      <c r="D59" s="47">
        <f t="shared" si="27"/>
        <v>1358931.982</v>
      </c>
      <c r="E59" s="47">
        <f t="shared" si="27"/>
        <v>1447785.683</v>
      </c>
      <c r="F59" s="47">
        <f t="shared" si="27"/>
        <v>1510891.536</v>
      </c>
      <c r="G59" s="47">
        <f t="shared" si="27"/>
        <v>1584629.517</v>
      </c>
      <c r="H59" s="47">
        <f t="shared" si="27"/>
        <v>1679418.968</v>
      </c>
      <c r="I59" s="47">
        <f t="shared" si="27"/>
        <v>1768799.545</v>
      </c>
      <c r="J59" s="47">
        <f t="shared" si="27"/>
        <v>1863942.705</v>
      </c>
      <c r="K59" s="47">
        <f t="shared" si="27"/>
        <v>1963564.588</v>
      </c>
      <c r="L59" s="47">
        <f t="shared" si="27"/>
        <v>2067415.126</v>
      </c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5.75" customHeight="1">
      <c r="A60" s="2" t="s">
        <v>18</v>
      </c>
      <c r="B60" s="11">
        <f t="shared" ref="B60:L60" si="28">B59/B58</f>
        <v>0.2269218742</v>
      </c>
      <c r="C60" s="11">
        <f t="shared" si="28"/>
        <v>0.2246521934</v>
      </c>
      <c r="D60" s="11">
        <f t="shared" si="28"/>
        <v>0.2268111656</v>
      </c>
      <c r="E60" s="11">
        <f t="shared" si="28"/>
        <v>0.228531792</v>
      </c>
      <c r="F60" s="11">
        <f t="shared" si="28"/>
        <v>0.2268901479</v>
      </c>
      <c r="G60" s="11">
        <f t="shared" si="28"/>
        <v>0.2260772797</v>
      </c>
      <c r="H60" s="11">
        <f t="shared" si="28"/>
        <v>0.2270437836</v>
      </c>
      <c r="I60" s="11">
        <f t="shared" si="28"/>
        <v>0.2269670165</v>
      </c>
      <c r="J60" s="11">
        <f t="shared" si="28"/>
        <v>0.2269679288</v>
      </c>
      <c r="K60" s="11">
        <f t="shared" si="28"/>
        <v>0.2268947461</v>
      </c>
      <c r="L60" s="11">
        <f t="shared" si="28"/>
        <v>0.2267456654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39</v>
      </c>
      <c r="B61" s="10">
        <f>0.5*F13+B56*(1-F15)</f>
        <v>837836.9487</v>
      </c>
      <c r="C61" s="10">
        <f t="shared" ref="C61:L61" si="29">B61+C56*(1-$F$15)</f>
        <v>1110087.517</v>
      </c>
      <c r="D61" s="10">
        <f t="shared" si="29"/>
        <v>1396925.348</v>
      </c>
      <c r="E61" s="10">
        <f t="shared" si="29"/>
        <v>1700159.167</v>
      </c>
      <c r="F61" s="10">
        <f t="shared" si="29"/>
        <v>2019083.133</v>
      </c>
      <c r="G61" s="10">
        <f t="shared" si="29"/>
        <v>2355225.385</v>
      </c>
      <c r="H61" s="10">
        <f t="shared" si="29"/>
        <v>2709618.579</v>
      </c>
      <c r="I61" s="10">
        <f t="shared" si="29"/>
        <v>3082927.682</v>
      </c>
      <c r="J61" s="10">
        <f t="shared" si="29"/>
        <v>3476353.073</v>
      </c>
      <c r="K61" s="10">
        <f t="shared" si="29"/>
        <v>3891018.954</v>
      </c>
      <c r="L61" s="10">
        <f t="shared" si="29"/>
        <v>4327944.933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40</v>
      </c>
      <c r="B62" s="10">
        <f>(0.5*F13+F15*B56)*(1+B32)</f>
        <v>5737762.547</v>
      </c>
      <c r="C62" s="10">
        <f t="shared" ref="C62:L62" si="30">(B62+$F$15*C56)*(1+C32)</f>
        <v>11370947.42</v>
      </c>
      <c r="D62" s="10">
        <f t="shared" si="30"/>
        <v>17567712.68</v>
      </c>
      <c r="E62" s="10">
        <f t="shared" si="30"/>
        <v>24369635.56</v>
      </c>
      <c r="F62" s="10">
        <f t="shared" si="30"/>
        <v>31768075.31</v>
      </c>
      <c r="G62" s="10">
        <f t="shared" si="30"/>
        <v>39780171.66</v>
      </c>
      <c r="H62" s="10">
        <f t="shared" si="30"/>
        <v>48541637.14</v>
      </c>
      <c r="I62" s="10">
        <f t="shared" si="30"/>
        <v>58071301.65</v>
      </c>
      <c r="J62" s="10">
        <f t="shared" si="30"/>
        <v>68410761.06</v>
      </c>
      <c r="K62" s="10">
        <f t="shared" si="30"/>
        <v>79608002.25</v>
      </c>
      <c r="L62" s="10">
        <f t="shared" si="30"/>
        <v>91724872.31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41</v>
      </c>
      <c r="B63" s="11">
        <f>(B62-F13-B34)/(B62+B56)</f>
        <v>0.03666895711</v>
      </c>
      <c r="C63" s="11">
        <f t="shared" ref="C63:L63" si="31">(C62-B62-C34)/(C56+C62-B62)</f>
        <v>0.111322116</v>
      </c>
      <c r="D63" s="11">
        <f t="shared" si="31"/>
        <v>0.1310785392</v>
      </c>
      <c r="E63" s="11">
        <f t="shared" si="31"/>
        <v>0.1487998175</v>
      </c>
      <c r="F63" s="11">
        <f t="shared" si="31"/>
        <v>0.1633310662</v>
      </c>
      <c r="G63" s="11">
        <f t="shared" si="31"/>
        <v>0.1756021651</v>
      </c>
      <c r="H63" s="11">
        <f t="shared" si="31"/>
        <v>0.1920579507</v>
      </c>
      <c r="I63" s="11">
        <f t="shared" si="31"/>
        <v>0.2062423424</v>
      </c>
      <c r="J63" s="11">
        <f t="shared" si="31"/>
        <v>0.2191919865</v>
      </c>
      <c r="K63" s="11">
        <f t="shared" si="31"/>
        <v>0.2312262512</v>
      </c>
      <c r="L63" s="11">
        <f t="shared" si="31"/>
        <v>0.2429354688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9" t="s">
        <v>42</v>
      </c>
      <c r="B64" s="48">
        <f>(B62-$F$13-SUM($B33))/(B62+SUM($B56))</f>
        <v>0.130281378</v>
      </c>
      <c r="C64" s="48">
        <f t="shared" ref="C64:L64" si="32">(C62-$F$13-SUM($B33:C33))/(C62+SUM($B56:C56))</f>
        <v>0.120747055</v>
      </c>
      <c r="D64" s="48">
        <f t="shared" si="32"/>
        <v>0.1243772306</v>
      </c>
      <c r="E64" s="48">
        <f t="shared" si="32"/>
        <v>0.1310874494</v>
      </c>
      <c r="F64" s="48">
        <f t="shared" si="32"/>
        <v>0.1384170081</v>
      </c>
      <c r="G64" s="48">
        <f t="shared" si="32"/>
        <v>0.1456895302</v>
      </c>
      <c r="H64" s="48">
        <f t="shared" si="32"/>
        <v>0.153748566</v>
      </c>
      <c r="I64" s="48">
        <f t="shared" si="32"/>
        <v>0.1619952193</v>
      </c>
      <c r="J64" s="48">
        <f t="shared" si="32"/>
        <v>0.1702347987</v>
      </c>
      <c r="K64" s="48">
        <f t="shared" si="32"/>
        <v>0.1783833928</v>
      </c>
      <c r="L64" s="48">
        <f t="shared" si="32"/>
        <v>0.1864573745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9" t="s">
        <v>43</v>
      </c>
      <c r="B65" s="48">
        <f>(B62-$F$13-SUM($B34))/(B62+SUM($B56))</f>
        <v>0.03666895711</v>
      </c>
      <c r="C65" s="48">
        <f t="shared" ref="C65:L65" si="33">(C62-$F$13-SUM($B34:C34))/(C62+SUM($B56:C56))</f>
        <v>0.07421088943</v>
      </c>
      <c r="D65" s="48">
        <f t="shared" si="33"/>
        <v>0.09419248647</v>
      </c>
      <c r="E65" s="48">
        <f t="shared" si="33"/>
        <v>0.1091961036</v>
      </c>
      <c r="F65" s="48">
        <f t="shared" si="33"/>
        <v>0.1215019621</v>
      </c>
      <c r="G65" s="48">
        <f t="shared" si="33"/>
        <v>0.1320826603</v>
      </c>
      <c r="H65" s="48">
        <f t="shared" si="33"/>
        <v>0.14250663</v>
      </c>
      <c r="I65" s="48">
        <f t="shared" si="33"/>
        <v>0.1525193659</v>
      </c>
      <c r="J65" s="48">
        <f t="shared" si="33"/>
        <v>0.1621240058</v>
      </c>
      <c r="K65" s="48">
        <f t="shared" si="33"/>
        <v>0.1713562199</v>
      </c>
      <c r="L65" s="48">
        <f t="shared" si="33"/>
        <v>0.1803091396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9" t="s">
        <v>44</v>
      </c>
      <c r="B66" s="48">
        <f>(B62-$F$13-SUM($B35))/(B62+SUM($B56))</f>
        <v>-0.03877287423</v>
      </c>
      <c r="C66" s="48">
        <f t="shared" ref="C66:K66" si="34">(C62-$F$13-SUM($B35:C35))/(C62+SUM($B56:C56))</f>
        <v>0.03670760174</v>
      </c>
      <c r="D66" s="48">
        <f t="shared" si="34"/>
        <v>0.06986673618</v>
      </c>
      <c r="E66" s="48">
        <f t="shared" si="34"/>
        <v>0.09155396581</v>
      </c>
      <c r="F66" s="48">
        <f t="shared" si="34"/>
        <v>0.1078702021</v>
      </c>
      <c r="G66" s="48">
        <f t="shared" si="34"/>
        <v>0.1211169446</v>
      </c>
      <c r="H66" s="48">
        <f t="shared" si="34"/>
        <v>0.1334468041</v>
      </c>
      <c r="I66" s="48">
        <f t="shared" si="34"/>
        <v>0.1448828181</v>
      </c>
      <c r="J66" s="48">
        <f t="shared" si="34"/>
        <v>0.155587554</v>
      </c>
      <c r="K66" s="48">
        <f t="shared" si="34"/>
        <v>0.1656930528</v>
      </c>
      <c r="L66" s="48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9" t="s">
        <v>45</v>
      </c>
      <c r="B67" s="48">
        <f>(B62-$F$13-SUM($B36))/(B62+SUM($B56))</f>
        <v>-0.2312917102</v>
      </c>
      <c r="C67" s="48">
        <f t="shared" ref="C67:L67" si="35">(C62-$F$13-SUM($B36:C36))/(C62+SUM($B56:C56))</f>
        <v>-0.05899645479</v>
      </c>
      <c r="D67" s="48">
        <f t="shared" si="35"/>
        <v>0.007790232379</v>
      </c>
      <c r="E67" s="48">
        <f t="shared" si="35"/>
        <v>0.04653326891</v>
      </c>
      <c r="F67" s="48">
        <f t="shared" si="35"/>
        <v>0.07308352584</v>
      </c>
      <c r="G67" s="48">
        <f t="shared" si="35"/>
        <v>0.09313370534</v>
      </c>
      <c r="H67" s="48">
        <f t="shared" si="35"/>
        <v>0.1103271751</v>
      </c>
      <c r="I67" s="48">
        <f t="shared" si="35"/>
        <v>0.1253952304</v>
      </c>
      <c r="J67" s="48">
        <f t="shared" si="35"/>
        <v>0.1389072846</v>
      </c>
      <c r="K67" s="48">
        <f t="shared" si="35"/>
        <v>0.1512413045</v>
      </c>
      <c r="L67" s="48">
        <f t="shared" si="35"/>
        <v>0.162710138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32" t="s">
        <v>53</v>
      </c>
      <c r="B68" s="48">
        <f>(B62-$F$13-SUM($B37))/(B62+SUM($B56))</f>
        <v>-0.3913128058</v>
      </c>
      <c r="C68" s="48">
        <f t="shared" ref="C68:L68" si="36">(C62-$F$13-SUM($B37:C37))/(C62+SUM($B56:C56))</f>
        <v>-0.1385453878</v>
      </c>
      <c r="D68" s="48">
        <f t="shared" si="36"/>
        <v>-0.04380757674</v>
      </c>
      <c r="E68" s="48">
        <f t="shared" si="36"/>
        <v>0.00911219679</v>
      </c>
      <c r="F68" s="48">
        <f t="shared" si="36"/>
        <v>0.04416894188</v>
      </c>
      <c r="G68" s="48">
        <f t="shared" si="36"/>
        <v>0.06987411839</v>
      </c>
      <c r="H68" s="48">
        <f t="shared" si="36"/>
        <v>0.09111020686</v>
      </c>
      <c r="I68" s="48">
        <f t="shared" si="36"/>
        <v>0.1091972043</v>
      </c>
      <c r="J68" s="48">
        <f t="shared" si="36"/>
        <v>0.1250426932</v>
      </c>
      <c r="K68" s="48">
        <f t="shared" si="36"/>
        <v>0.1392290535</v>
      </c>
      <c r="L68" s="48">
        <f t="shared" si="36"/>
        <v>0.1522003435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2"/>
      <c r="B69" s="5" t="s">
        <v>25</v>
      </c>
      <c r="C69" s="49">
        <v>2176.0</v>
      </c>
      <c r="D69" s="49">
        <v>2177.0</v>
      </c>
      <c r="E69" s="49">
        <v>2178.0</v>
      </c>
      <c r="F69" s="49">
        <v>2179.0</v>
      </c>
      <c r="G69" s="49">
        <v>2180.0</v>
      </c>
      <c r="H69" s="49">
        <v>2181.0</v>
      </c>
      <c r="I69" s="49">
        <v>2182.0</v>
      </c>
      <c r="J69" s="49">
        <v>2183.0</v>
      </c>
      <c r="K69" s="49">
        <v>2184.0</v>
      </c>
      <c r="L69" s="49">
        <v>2185.0</v>
      </c>
      <c r="M69" s="49">
        <v>2186.0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50" t="s">
        <v>96</v>
      </c>
      <c r="C70" s="51">
        <f>4181856.97/1000000</f>
        <v>4.18185697</v>
      </c>
      <c r="D70" s="51">
        <f>4399936.63/1000000</f>
        <v>4.39993663</v>
      </c>
      <c r="E70" s="51">
        <f>4632536.64/1000000</f>
        <v>4.63253664</v>
      </c>
      <c r="F70" s="51">
        <f>4887375.26/1000000</f>
        <v>4.88737526</v>
      </c>
      <c r="G70" s="51">
        <f>5148240.87/1000000</f>
        <v>5.14824087</v>
      </c>
      <c r="H70" s="51">
        <f>5424608.74/1000000</f>
        <v>5.42460874</v>
      </c>
      <c r="I70" s="51">
        <f>5717475.77/1000000</f>
        <v>5.71747577</v>
      </c>
      <c r="J70" s="51">
        <f>6024401.3/1000000</f>
        <v>6.0244013</v>
      </c>
      <c r="K70" s="51">
        <f>6348418.91/1000000</f>
        <v>6.34841891</v>
      </c>
      <c r="L70" s="51">
        <f>6690512.35/1000000</f>
        <v>6.69051235</v>
      </c>
      <c r="M70" s="51">
        <f>7050356.2/1000000</f>
        <v>7.0503562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 t="s">
        <v>18</v>
      </c>
      <c r="C71" s="11">
        <f t="shared" ref="C71:M71" si="37">B60</f>
        <v>0.2269218742</v>
      </c>
      <c r="D71" s="11">
        <f t="shared" si="37"/>
        <v>0.2246521934</v>
      </c>
      <c r="E71" s="11">
        <f t="shared" si="37"/>
        <v>0.2268111656</v>
      </c>
      <c r="F71" s="11">
        <f t="shared" si="37"/>
        <v>0.228531792</v>
      </c>
      <c r="G71" s="11">
        <f t="shared" si="37"/>
        <v>0.2268901479</v>
      </c>
      <c r="H71" s="11">
        <f t="shared" si="37"/>
        <v>0.2260772797</v>
      </c>
      <c r="I71" s="11">
        <f t="shared" si="37"/>
        <v>0.2270437836</v>
      </c>
      <c r="J71" s="11">
        <f t="shared" si="37"/>
        <v>0.2269670165</v>
      </c>
      <c r="K71" s="11">
        <f t="shared" si="37"/>
        <v>0.2269679288</v>
      </c>
      <c r="L71" s="11">
        <f t="shared" si="37"/>
        <v>0.2268947461</v>
      </c>
      <c r="M71" s="11">
        <f t="shared" si="37"/>
        <v>0.2267456654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10"/>
      <c r="F72" s="10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10"/>
      <c r="F73" s="10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10"/>
      <c r="F74" s="1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10"/>
      <c r="F75" s="1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10"/>
      <c r="F76" s="1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10"/>
      <c r="F77" s="1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10"/>
      <c r="F78" s="1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10"/>
      <c r="F79" s="1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10"/>
      <c r="F80" s="1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10"/>
      <c r="F81" s="10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10"/>
      <c r="F82" s="1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10"/>
      <c r="F83" s="1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10"/>
      <c r="F84" s="1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10"/>
      <c r="F85" s="1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10"/>
      <c r="F86" s="1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10"/>
      <c r="F87" s="1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10"/>
      <c r="F88" s="1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10"/>
      <c r="F89" s="1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10"/>
      <c r="F90" s="1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10"/>
      <c r="F91" s="1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10"/>
      <c r="F92" s="10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10"/>
      <c r="F93" s="10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10"/>
      <c r="F94" s="1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10"/>
      <c r="F95" s="1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10"/>
      <c r="F96" s="1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10"/>
      <c r="F97" s="10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10"/>
      <c r="F98" s="10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10"/>
      <c r="F99" s="10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10"/>
      <c r="F100" s="10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10"/>
      <c r="F101" s="10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10"/>
      <c r="F102" s="10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10"/>
      <c r="F103" s="10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10"/>
      <c r="F104" s="10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10"/>
      <c r="F105" s="10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10"/>
      <c r="F106" s="1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10"/>
      <c r="F107" s="1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10"/>
      <c r="F108" s="10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10"/>
      <c r="F109" s="1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10"/>
      <c r="F110" s="10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10"/>
      <c r="F111" s="1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10"/>
      <c r="F112" s="1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10"/>
      <c r="F113" s="1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10"/>
      <c r="F114" s="1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10"/>
      <c r="F115" s="1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10"/>
      <c r="F116" s="10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10"/>
      <c r="F117" s="10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10"/>
      <c r="F118" s="1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10"/>
      <c r="F119" s="1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10"/>
      <c r="F120" s="10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10"/>
      <c r="F121" s="1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10"/>
      <c r="F122" s="10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10"/>
      <c r="F123" s="10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10"/>
      <c r="F124" s="1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10"/>
      <c r="F125" s="1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10"/>
      <c r="F126" s="1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10"/>
      <c r="F127" s="1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10"/>
      <c r="F128" s="10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10"/>
      <c r="F129" s="10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10"/>
      <c r="F130" s="1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10"/>
      <c r="F131" s="1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10"/>
      <c r="F132" s="1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10"/>
      <c r="F133" s="1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10"/>
      <c r="F134" s="1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10"/>
      <c r="F135" s="1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10"/>
      <c r="F136" s="1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10"/>
      <c r="F137" s="1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10"/>
      <c r="F138" s="1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10"/>
      <c r="F139" s="1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10"/>
      <c r="F140" s="1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10"/>
      <c r="F141" s="1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10"/>
      <c r="F142" s="1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10"/>
      <c r="F143" s="1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10"/>
      <c r="F144" s="1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10"/>
      <c r="F145" s="1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10"/>
      <c r="F146" s="1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10"/>
      <c r="F147" s="1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10"/>
      <c r="F148" s="1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10"/>
      <c r="F149" s="1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10"/>
      <c r="F150" s="1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10"/>
      <c r="F151" s="1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10"/>
      <c r="F152" s="1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10"/>
      <c r="F153" s="1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10"/>
      <c r="F154" s="1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10"/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10"/>
      <c r="F156" s="1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10"/>
      <c r="F157" s="1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10"/>
      <c r="F158" s="10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10"/>
      <c r="F159" s="10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10"/>
      <c r="F160" s="1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10"/>
      <c r="F161" s="10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10"/>
      <c r="F162" s="1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10"/>
      <c r="F163" s="10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10"/>
      <c r="F164" s="1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10"/>
      <c r="F165" s="10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10"/>
      <c r="F166" s="1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10"/>
      <c r="F167" s="10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10"/>
      <c r="F168" s="1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10"/>
      <c r="F169" s="10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10"/>
      <c r="F170" s="1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10"/>
      <c r="F171" s="1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10"/>
      <c r="F172" s="1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10"/>
      <c r="F173" s="1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10"/>
      <c r="F174" s="1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10"/>
      <c r="F175" s="1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10"/>
      <c r="F176" s="10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10"/>
      <c r="F177" s="1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10"/>
      <c r="F178" s="1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10"/>
      <c r="F179" s="1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10"/>
      <c r="F180" s="1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10"/>
      <c r="F181" s="1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10"/>
      <c r="F182" s="10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10"/>
      <c r="F183" s="10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10"/>
      <c r="F184" s="1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10"/>
      <c r="F185" s="10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10"/>
      <c r="F186" s="10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10"/>
      <c r="F187" s="10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10"/>
      <c r="F188" s="10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10"/>
      <c r="F189" s="10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10"/>
      <c r="F190" s="1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10"/>
      <c r="F191" s="1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10"/>
      <c r="F192" s="1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10"/>
      <c r="F193" s="1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10"/>
      <c r="F194" s="10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10"/>
      <c r="F195" s="10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10"/>
      <c r="F196" s="1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10"/>
      <c r="F197" s="1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10"/>
      <c r="F198" s="1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10"/>
      <c r="F199" s="1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10"/>
      <c r="F200" s="10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10"/>
      <c r="F201" s="10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10"/>
      <c r="F202" s="10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10"/>
      <c r="F203" s="10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10"/>
      <c r="F204" s="10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10"/>
      <c r="F205" s="1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10"/>
      <c r="F206" s="1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10"/>
      <c r="F207" s="1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10"/>
      <c r="F208" s="1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10"/>
      <c r="F209" s="1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10"/>
      <c r="F210" s="1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10"/>
      <c r="F211" s="1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10"/>
      <c r="F212" s="1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10"/>
      <c r="F213" s="1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10"/>
      <c r="F214" s="1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10"/>
      <c r="F215" s="1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10"/>
      <c r="F216" s="1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10"/>
      <c r="F217" s="1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10"/>
      <c r="F218" s="1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10"/>
      <c r="F219" s="1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10"/>
      <c r="F220" s="1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10"/>
      <c r="F221" s="1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10"/>
      <c r="F222" s="1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10"/>
      <c r="F223" s="1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10"/>
      <c r="F224" s="1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10"/>
      <c r="F225" s="1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10"/>
      <c r="F226" s="1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10"/>
      <c r="F227" s="1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10"/>
      <c r="F228" s="1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10"/>
      <c r="F229" s="1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10"/>
      <c r="F230" s="1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10"/>
      <c r="F231" s="10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10"/>
      <c r="F232" s="1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10"/>
      <c r="F233" s="1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10"/>
      <c r="F234" s="1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10"/>
      <c r="F235" s="1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10"/>
      <c r="F236" s="10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10"/>
      <c r="F237" s="1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10"/>
      <c r="F238" s="1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10"/>
      <c r="F239" s="1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10"/>
      <c r="F240" s="1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10"/>
      <c r="F241" s="1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10"/>
      <c r="F242" s="10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10"/>
      <c r="F243" s="1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10"/>
      <c r="F244" s="10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10"/>
      <c r="F245" s="10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10"/>
      <c r="F246" s="10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10"/>
      <c r="F247" s="10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10"/>
      <c r="F248" s="10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10"/>
      <c r="F249" s="10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10"/>
      <c r="F250" s="10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10"/>
      <c r="F251" s="10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10"/>
      <c r="F252" s="10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10"/>
      <c r="F253" s="1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10"/>
      <c r="F254" s="10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10"/>
      <c r="F255" s="10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10"/>
      <c r="F256" s="10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10"/>
      <c r="F257" s="10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10"/>
      <c r="F258" s="10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10"/>
      <c r="F259" s="10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10"/>
      <c r="F260" s="10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10"/>
      <c r="F261" s="10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10"/>
      <c r="F262" s="10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10"/>
      <c r="F263" s="10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10"/>
      <c r="F264" s="10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10"/>
      <c r="F265" s="10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10"/>
      <c r="F266" s="10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10"/>
      <c r="F267" s="10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10"/>
      <c r="F268" s="10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10"/>
      <c r="F269" s="10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10"/>
      <c r="F270" s="10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10"/>
      <c r="F271" s="10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10"/>
      <c r="F272" s="10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10"/>
      <c r="F273" s="10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10"/>
      <c r="F274" s="10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10"/>
      <c r="F275" s="1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10"/>
      <c r="F276" s="10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10"/>
      <c r="F277" s="1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10"/>
      <c r="F278" s="10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10"/>
      <c r="F279" s="10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10"/>
      <c r="F280" s="10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10"/>
      <c r="F281" s="1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10"/>
      <c r="F282" s="10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10"/>
      <c r="F283" s="10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10"/>
      <c r="F284" s="10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10"/>
      <c r="F285" s="10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10"/>
      <c r="F286" s="10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10"/>
      <c r="F287" s="1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10"/>
      <c r="F288" s="10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10"/>
      <c r="F289" s="10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10"/>
      <c r="F290" s="10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10"/>
      <c r="F291" s="10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10"/>
      <c r="F292" s="10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10"/>
      <c r="F293" s="10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10"/>
      <c r="F294" s="10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10"/>
      <c r="F295" s="10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10"/>
      <c r="F296" s="10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10"/>
      <c r="F297" s="10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10"/>
      <c r="F298" s="10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10"/>
      <c r="F299" s="10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10"/>
      <c r="F300" s="10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10"/>
      <c r="F301" s="10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10"/>
      <c r="F302" s="10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10"/>
      <c r="F303" s="10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10"/>
      <c r="F304" s="10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10"/>
      <c r="F305" s="10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10"/>
      <c r="F306" s="10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10"/>
      <c r="F307" s="10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10"/>
      <c r="F308" s="10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10"/>
      <c r="F309" s="10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10"/>
      <c r="F310" s="10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10"/>
      <c r="F311" s="10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10"/>
      <c r="F312" s="10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10"/>
      <c r="F313" s="10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10"/>
      <c r="F314" s="10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10"/>
      <c r="F315" s="10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10"/>
      <c r="F316" s="10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10"/>
      <c r="F317" s="10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10"/>
      <c r="F318" s="10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10"/>
      <c r="F319" s="10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10"/>
      <c r="F320" s="10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10"/>
      <c r="F321" s="10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10"/>
      <c r="F322" s="10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10"/>
      <c r="F323" s="10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10"/>
      <c r="F324" s="10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10"/>
      <c r="F325" s="10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10"/>
      <c r="F326" s="10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10"/>
      <c r="F327" s="10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10"/>
      <c r="F328" s="10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10"/>
      <c r="F329" s="10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10"/>
      <c r="F330" s="10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10"/>
      <c r="F331" s="10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10"/>
      <c r="F332" s="10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10"/>
      <c r="F333" s="10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10"/>
      <c r="F334" s="10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10"/>
      <c r="F335" s="10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10"/>
      <c r="F336" s="10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10"/>
      <c r="F337" s="10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10"/>
      <c r="F338" s="10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10"/>
      <c r="F339" s="10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10"/>
      <c r="F340" s="10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10"/>
      <c r="F341" s="10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10"/>
      <c r="F342" s="10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10"/>
      <c r="F343" s="10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10"/>
      <c r="F344" s="10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10"/>
      <c r="F345" s="10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10"/>
      <c r="F346" s="10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10"/>
      <c r="F347" s="10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10"/>
      <c r="F348" s="10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10"/>
      <c r="F349" s="10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10"/>
      <c r="F350" s="10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10"/>
      <c r="F351" s="10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10"/>
      <c r="F352" s="10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10"/>
      <c r="F353" s="10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10"/>
      <c r="F354" s="10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10"/>
      <c r="F355" s="10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10"/>
      <c r="F356" s="10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10"/>
      <c r="F357" s="10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10"/>
      <c r="F358" s="10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10"/>
      <c r="F359" s="10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10"/>
      <c r="F360" s="10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10"/>
      <c r="F361" s="10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10"/>
      <c r="F362" s="10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10"/>
      <c r="F363" s="10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10"/>
      <c r="F364" s="10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10"/>
      <c r="F365" s="10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10"/>
      <c r="F366" s="10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10"/>
      <c r="F367" s="10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10"/>
      <c r="F368" s="10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10"/>
      <c r="F369" s="10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10"/>
      <c r="F370" s="10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10"/>
      <c r="F371" s="10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10"/>
      <c r="F372" s="10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10"/>
      <c r="F373" s="10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10"/>
      <c r="F374" s="10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10"/>
      <c r="F375" s="10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10"/>
      <c r="F376" s="10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10"/>
      <c r="F377" s="10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10"/>
      <c r="F378" s="10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10"/>
      <c r="F379" s="10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10"/>
      <c r="F380" s="10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10"/>
      <c r="F381" s="10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10"/>
      <c r="F382" s="10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10"/>
      <c r="F383" s="10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10"/>
      <c r="F384" s="10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10"/>
      <c r="F385" s="10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10"/>
      <c r="F386" s="10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10"/>
      <c r="F387" s="10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10"/>
      <c r="F388" s="10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10"/>
      <c r="F389" s="10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10"/>
      <c r="F390" s="10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10"/>
      <c r="F391" s="10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10"/>
      <c r="F392" s="10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10"/>
      <c r="F393" s="10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10"/>
      <c r="F394" s="10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10"/>
      <c r="F395" s="10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10"/>
      <c r="F396" s="10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10"/>
      <c r="F397" s="10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10"/>
      <c r="F398" s="10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10"/>
      <c r="F399" s="10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10"/>
      <c r="F400" s="10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10"/>
      <c r="F401" s="10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10"/>
      <c r="F402" s="10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10"/>
      <c r="F403" s="10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10"/>
      <c r="F404" s="10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10"/>
      <c r="F405" s="10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10"/>
      <c r="F406" s="10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10"/>
      <c r="F407" s="10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10"/>
      <c r="F408" s="10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10"/>
      <c r="F409" s="10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10"/>
      <c r="F410" s="10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10"/>
      <c r="F411" s="10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10"/>
      <c r="F412" s="10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10"/>
      <c r="F413" s="10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10"/>
      <c r="F414" s="10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10"/>
      <c r="F415" s="10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10"/>
      <c r="F416" s="10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10"/>
      <c r="F417" s="10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10"/>
      <c r="F418" s="10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10"/>
      <c r="F419" s="10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10"/>
      <c r="F420" s="10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10"/>
      <c r="F421" s="10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10"/>
      <c r="F422" s="10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10"/>
      <c r="F423" s="10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10"/>
      <c r="F424" s="10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10"/>
      <c r="F425" s="10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10"/>
      <c r="F426" s="10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10"/>
      <c r="F427" s="10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10"/>
      <c r="F428" s="10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10"/>
      <c r="F429" s="10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10"/>
      <c r="F430" s="10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10"/>
      <c r="F431" s="10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10"/>
      <c r="F432" s="10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10"/>
      <c r="F433" s="10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10"/>
      <c r="F434" s="10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10"/>
      <c r="F435" s="10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10"/>
      <c r="F436" s="10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10"/>
      <c r="F437" s="10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10"/>
      <c r="F438" s="10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10"/>
      <c r="F439" s="10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10"/>
      <c r="F440" s="10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10"/>
      <c r="F441" s="10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10"/>
      <c r="F442" s="10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10"/>
      <c r="F443" s="10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10"/>
      <c r="F444" s="10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10"/>
      <c r="F445" s="10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10"/>
      <c r="F446" s="10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10"/>
      <c r="F447" s="10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10"/>
      <c r="F448" s="10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10"/>
      <c r="F449" s="10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10"/>
      <c r="F450" s="10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10"/>
      <c r="F451" s="10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10"/>
      <c r="F452" s="10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10"/>
      <c r="F453" s="10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10"/>
      <c r="F454" s="10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10"/>
      <c r="F455" s="10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10"/>
      <c r="F456" s="10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10"/>
      <c r="F457" s="10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10"/>
      <c r="F458" s="10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10"/>
      <c r="F459" s="10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10"/>
      <c r="F460" s="10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10"/>
      <c r="F461" s="10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10"/>
      <c r="F462" s="10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10"/>
      <c r="F463" s="10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10"/>
      <c r="F464" s="10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10"/>
      <c r="F465" s="10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10"/>
      <c r="F466" s="10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10"/>
      <c r="F467" s="10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10"/>
      <c r="F468" s="10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10"/>
      <c r="F469" s="10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10"/>
      <c r="F470" s="10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10"/>
      <c r="F471" s="10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10"/>
      <c r="F472" s="10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10"/>
      <c r="F473" s="10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10"/>
      <c r="F474" s="10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10"/>
      <c r="F475" s="10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10"/>
      <c r="F476" s="10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10"/>
      <c r="F477" s="10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10"/>
      <c r="F478" s="10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10"/>
      <c r="F479" s="10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10"/>
      <c r="F480" s="10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10"/>
      <c r="F481" s="10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10"/>
      <c r="F482" s="10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10"/>
      <c r="F483" s="10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10"/>
      <c r="F484" s="10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10"/>
      <c r="F485" s="10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10"/>
      <c r="F486" s="10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10"/>
      <c r="F487" s="10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10"/>
      <c r="F488" s="10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10"/>
      <c r="F489" s="10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10"/>
      <c r="F490" s="10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10"/>
      <c r="F491" s="10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10"/>
      <c r="F492" s="10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10"/>
      <c r="F493" s="10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10"/>
      <c r="F494" s="10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10"/>
      <c r="F495" s="10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10"/>
      <c r="F496" s="10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10"/>
      <c r="F497" s="10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10"/>
      <c r="F498" s="10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10"/>
      <c r="F499" s="10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10"/>
      <c r="F500" s="10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10"/>
      <c r="F501" s="10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10"/>
      <c r="F502" s="10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10"/>
      <c r="F503" s="10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10"/>
      <c r="F504" s="10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10"/>
      <c r="F505" s="10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10"/>
      <c r="F506" s="10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10"/>
      <c r="F507" s="10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10"/>
      <c r="F508" s="10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10"/>
      <c r="F509" s="10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10"/>
      <c r="F510" s="10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10"/>
      <c r="F511" s="10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10"/>
      <c r="F512" s="10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10"/>
      <c r="F513" s="10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10"/>
      <c r="F514" s="10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10"/>
      <c r="F515" s="10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10"/>
      <c r="F516" s="10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10"/>
      <c r="F517" s="10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10"/>
      <c r="F518" s="10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10"/>
      <c r="F519" s="10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10"/>
      <c r="F520" s="10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10"/>
      <c r="F521" s="10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10"/>
      <c r="F522" s="10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10"/>
      <c r="F523" s="10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10"/>
      <c r="F524" s="10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10"/>
      <c r="F525" s="10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10"/>
      <c r="F526" s="10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10"/>
      <c r="F527" s="10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10"/>
      <c r="F528" s="10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10"/>
      <c r="F529" s="10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10"/>
      <c r="F530" s="10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10"/>
      <c r="F531" s="10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10"/>
      <c r="F532" s="10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10"/>
      <c r="F533" s="10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10"/>
      <c r="F534" s="10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10"/>
      <c r="F535" s="10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10"/>
      <c r="F536" s="10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10"/>
      <c r="F537" s="10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10"/>
      <c r="F538" s="10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10"/>
      <c r="F539" s="10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10"/>
      <c r="F540" s="10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10"/>
      <c r="F541" s="10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10"/>
      <c r="F542" s="10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10"/>
      <c r="F543" s="10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10"/>
      <c r="F544" s="10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10"/>
      <c r="F545" s="10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10"/>
      <c r="F546" s="10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10"/>
      <c r="F547" s="10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10"/>
      <c r="F548" s="10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10"/>
      <c r="F549" s="10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10"/>
      <c r="F550" s="10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10"/>
      <c r="F551" s="10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10"/>
      <c r="F552" s="10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10"/>
      <c r="F553" s="10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10"/>
      <c r="F554" s="10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10"/>
      <c r="F555" s="10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10"/>
      <c r="F556" s="10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10"/>
      <c r="F557" s="10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10"/>
      <c r="F558" s="10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10"/>
      <c r="F559" s="10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10"/>
      <c r="F560" s="10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10"/>
      <c r="F561" s="10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10"/>
      <c r="F562" s="10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10"/>
      <c r="F563" s="10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10"/>
      <c r="F564" s="10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10"/>
      <c r="F565" s="10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10"/>
      <c r="F566" s="10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10"/>
      <c r="F567" s="10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10"/>
      <c r="F568" s="10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10"/>
      <c r="F569" s="10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10"/>
      <c r="F570" s="10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10"/>
      <c r="F571" s="10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10"/>
      <c r="F572" s="10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10"/>
      <c r="F573" s="10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10"/>
      <c r="F574" s="10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10"/>
      <c r="F575" s="10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10"/>
      <c r="F576" s="10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10"/>
      <c r="F577" s="10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10"/>
      <c r="F578" s="10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10"/>
      <c r="F579" s="10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10"/>
      <c r="F580" s="10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10"/>
      <c r="F581" s="10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10"/>
      <c r="F582" s="10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10"/>
      <c r="F583" s="10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10"/>
      <c r="F584" s="10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10"/>
      <c r="F585" s="10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10"/>
      <c r="F586" s="10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10"/>
      <c r="F587" s="10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10"/>
      <c r="F588" s="10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10"/>
      <c r="F589" s="10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10"/>
      <c r="F590" s="10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10"/>
      <c r="F591" s="10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10"/>
      <c r="F592" s="10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10"/>
      <c r="F593" s="10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10"/>
      <c r="F594" s="10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10"/>
      <c r="F595" s="10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10"/>
      <c r="F596" s="10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10"/>
      <c r="F597" s="10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10"/>
      <c r="F598" s="10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10"/>
      <c r="F599" s="10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10"/>
      <c r="F600" s="10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10"/>
      <c r="F601" s="10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10"/>
      <c r="F602" s="10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10"/>
      <c r="F603" s="10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10"/>
      <c r="F604" s="10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10"/>
      <c r="F605" s="10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10"/>
      <c r="F606" s="10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10"/>
      <c r="F607" s="10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10"/>
      <c r="F608" s="10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10"/>
      <c r="F609" s="10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10"/>
      <c r="F610" s="10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10"/>
      <c r="F611" s="10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10"/>
      <c r="F612" s="10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10"/>
      <c r="F613" s="10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10"/>
      <c r="F614" s="10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10"/>
      <c r="F615" s="10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10"/>
      <c r="F616" s="10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10"/>
      <c r="F617" s="10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10"/>
      <c r="F618" s="10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10"/>
      <c r="F619" s="10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10"/>
      <c r="F620" s="10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10"/>
      <c r="F621" s="10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10"/>
      <c r="F622" s="10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10"/>
      <c r="F623" s="10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10"/>
      <c r="F624" s="10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10"/>
      <c r="F625" s="10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10"/>
      <c r="F626" s="10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10"/>
      <c r="F627" s="10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10"/>
      <c r="F628" s="10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10"/>
      <c r="F629" s="10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10"/>
      <c r="F630" s="10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10"/>
      <c r="F631" s="10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10"/>
      <c r="F632" s="10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10"/>
      <c r="F633" s="10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10"/>
      <c r="F634" s="10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10"/>
      <c r="F635" s="10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10"/>
      <c r="F636" s="10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10"/>
      <c r="F637" s="10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10"/>
      <c r="F638" s="10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10"/>
      <c r="F639" s="10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10"/>
      <c r="F640" s="10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10"/>
      <c r="F641" s="10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10"/>
      <c r="F642" s="10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10"/>
      <c r="F643" s="10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10"/>
      <c r="F644" s="10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10"/>
      <c r="F645" s="10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10"/>
      <c r="F646" s="10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10"/>
      <c r="F647" s="10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10"/>
      <c r="F648" s="10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10"/>
      <c r="F649" s="10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10"/>
      <c r="F650" s="10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10"/>
      <c r="F651" s="10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10"/>
      <c r="F652" s="10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10"/>
      <c r="F653" s="10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10"/>
      <c r="F654" s="10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10"/>
      <c r="F655" s="10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10"/>
      <c r="F656" s="10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10"/>
      <c r="F657" s="10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10"/>
      <c r="F658" s="10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10"/>
      <c r="F659" s="10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10"/>
      <c r="F660" s="10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10"/>
      <c r="F661" s="10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10"/>
      <c r="F662" s="10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10"/>
      <c r="F663" s="10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10"/>
      <c r="F664" s="10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10"/>
      <c r="F665" s="10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10"/>
      <c r="F666" s="10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10"/>
      <c r="F667" s="10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10"/>
      <c r="F668" s="10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10"/>
      <c r="F669" s="10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10"/>
      <c r="F670" s="10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10"/>
      <c r="F671" s="10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10"/>
      <c r="F672" s="10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10"/>
      <c r="F673" s="10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10"/>
      <c r="F674" s="10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10"/>
      <c r="F675" s="10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10"/>
      <c r="F676" s="10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10"/>
      <c r="F677" s="10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10"/>
      <c r="F678" s="10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10"/>
      <c r="F679" s="10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10"/>
      <c r="F680" s="10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10"/>
      <c r="F681" s="10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10"/>
      <c r="F682" s="10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10"/>
      <c r="F683" s="10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10"/>
      <c r="F684" s="10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10"/>
      <c r="F685" s="10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10"/>
      <c r="F686" s="10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10"/>
      <c r="F687" s="10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10"/>
      <c r="F688" s="10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10"/>
      <c r="F689" s="10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10"/>
      <c r="F690" s="10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10"/>
      <c r="F691" s="10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10"/>
      <c r="F692" s="10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10"/>
      <c r="F693" s="10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10"/>
      <c r="F694" s="10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10"/>
      <c r="F695" s="10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10"/>
      <c r="F696" s="10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10"/>
      <c r="F697" s="10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10"/>
      <c r="F698" s="10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10"/>
      <c r="F699" s="10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10"/>
      <c r="F700" s="10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10"/>
      <c r="F701" s="10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10"/>
      <c r="F702" s="10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10"/>
      <c r="F703" s="10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10"/>
      <c r="F704" s="10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10"/>
      <c r="F705" s="10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10"/>
      <c r="F706" s="10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10"/>
      <c r="F707" s="10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10"/>
      <c r="F708" s="10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10"/>
      <c r="F709" s="10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10"/>
      <c r="F710" s="10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10"/>
      <c r="F711" s="10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10"/>
      <c r="F712" s="10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10"/>
      <c r="F713" s="10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10"/>
      <c r="F714" s="10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10"/>
      <c r="F715" s="10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10"/>
      <c r="F716" s="10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10"/>
      <c r="F717" s="10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10"/>
      <c r="F718" s="10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10"/>
      <c r="F719" s="10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10"/>
      <c r="F720" s="10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10"/>
      <c r="F721" s="10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10"/>
      <c r="F722" s="10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10"/>
      <c r="F723" s="10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10"/>
      <c r="F724" s="10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10"/>
      <c r="F725" s="10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10"/>
      <c r="F726" s="10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10"/>
      <c r="F727" s="10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10"/>
      <c r="F728" s="10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10"/>
      <c r="F729" s="10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10"/>
      <c r="F730" s="10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10"/>
      <c r="F731" s="10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10"/>
      <c r="F732" s="10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10"/>
      <c r="F733" s="10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10"/>
      <c r="F734" s="10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10"/>
      <c r="F735" s="10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10"/>
      <c r="F736" s="10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10"/>
      <c r="F737" s="10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10"/>
      <c r="F738" s="10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10"/>
      <c r="F739" s="10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10"/>
      <c r="F740" s="10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10"/>
      <c r="F741" s="10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10"/>
      <c r="F742" s="10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10"/>
      <c r="F743" s="10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10"/>
      <c r="F744" s="10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10"/>
      <c r="F745" s="10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10"/>
      <c r="F746" s="10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10"/>
      <c r="F747" s="10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10"/>
      <c r="F748" s="10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10"/>
      <c r="F749" s="10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10"/>
      <c r="F750" s="10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10"/>
      <c r="F751" s="10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10"/>
      <c r="F752" s="10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10"/>
      <c r="F753" s="10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10"/>
      <c r="F754" s="10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10"/>
      <c r="F755" s="10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10"/>
      <c r="F756" s="10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10"/>
      <c r="F757" s="10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10"/>
      <c r="F758" s="10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10"/>
      <c r="F759" s="10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10"/>
      <c r="F760" s="10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10"/>
      <c r="F761" s="10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10"/>
      <c r="F762" s="10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10"/>
      <c r="F763" s="10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10"/>
      <c r="F764" s="10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10"/>
      <c r="F765" s="10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10"/>
      <c r="F766" s="10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10"/>
      <c r="F767" s="10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10"/>
      <c r="F768" s="10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10"/>
      <c r="F769" s="10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10"/>
      <c r="F770" s="10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10"/>
      <c r="F771" s="10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10"/>
      <c r="F772" s="10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10"/>
      <c r="F773" s="10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10"/>
      <c r="F774" s="10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10"/>
      <c r="F775" s="10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10"/>
      <c r="F776" s="10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10"/>
      <c r="F777" s="10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10"/>
      <c r="F778" s="10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10"/>
      <c r="F779" s="10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10"/>
      <c r="F780" s="10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10"/>
      <c r="F781" s="10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10"/>
      <c r="F782" s="10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10"/>
      <c r="F783" s="10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10"/>
      <c r="F784" s="10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10"/>
      <c r="F785" s="10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10"/>
      <c r="F786" s="10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10"/>
      <c r="F787" s="10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10"/>
      <c r="F788" s="10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10"/>
      <c r="F789" s="10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10"/>
      <c r="F790" s="10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10"/>
      <c r="F791" s="10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10"/>
      <c r="F792" s="10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10"/>
      <c r="F793" s="10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10"/>
      <c r="F794" s="10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10"/>
      <c r="F795" s="10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10"/>
      <c r="F796" s="10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10"/>
      <c r="F797" s="10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10"/>
      <c r="F798" s="10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10"/>
      <c r="F799" s="10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10"/>
      <c r="F800" s="10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10"/>
      <c r="F801" s="10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10"/>
      <c r="F802" s="10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10"/>
      <c r="F803" s="10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10"/>
      <c r="F804" s="10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10"/>
      <c r="F805" s="10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10"/>
      <c r="F806" s="10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10"/>
      <c r="F807" s="10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10"/>
      <c r="F808" s="10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10"/>
      <c r="F809" s="10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10"/>
      <c r="F810" s="10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10"/>
      <c r="F811" s="10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10"/>
      <c r="F812" s="10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10"/>
      <c r="F813" s="10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10"/>
      <c r="F814" s="10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10"/>
      <c r="F815" s="10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10"/>
      <c r="F816" s="10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10"/>
      <c r="F817" s="10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10"/>
      <c r="F818" s="10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10"/>
      <c r="F819" s="10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10"/>
      <c r="F820" s="10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10"/>
      <c r="F821" s="10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10"/>
      <c r="F822" s="10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10"/>
      <c r="F823" s="10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10"/>
      <c r="F824" s="10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10"/>
      <c r="F825" s="10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10"/>
      <c r="F826" s="10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10"/>
      <c r="F827" s="10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10"/>
      <c r="F828" s="10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10"/>
      <c r="F829" s="10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10"/>
      <c r="F830" s="10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10"/>
      <c r="F831" s="10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10"/>
      <c r="F832" s="10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10"/>
      <c r="F833" s="10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10"/>
      <c r="F834" s="10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10"/>
      <c r="F835" s="10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10"/>
      <c r="F836" s="10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10"/>
      <c r="F837" s="10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10"/>
      <c r="F838" s="10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10"/>
      <c r="F839" s="10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10"/>
      <c r="F840" s="10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10"/>
      <c r="F841" s="10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10"/>
      <c r="F842" s="10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10"/>
      <c r="F843" s="10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10"/>
      <c r="F844" s="10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10"/>
      <c r="F845" s="10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10"/>
      <c r="F846" s="10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10"/>
      <c r="F847" s="10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10"/>
      <c r="F848" s="10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10"/>
      <c r="F849" s="10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10"/>
      <c r="F850" s="10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10"/>
      <c r="F851" s="10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10"/>
      <c r="F852" s="10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10"/>
      <c r="F853" s="10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10"/>
      <c r="F854" s="10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10"/>
      <c r="F855" s="10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10"/>
      <c r="F856" s="10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10"/>
      <c r="F857" s="10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10"/>
      <c r="F858" s="10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10"/>
      <c r="F859" s="10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10"/>
      <c r="F860" s="10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10"/>
      <c r="F861" s="10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10"/>
      <c r="F862" s="10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10"/>
      <c r="F863" s="10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10"/>
      <c r="F864" s="10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10"/>
      <c r="F865" s="10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10"/>
      <c r="F866" s="10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10"/>
      <c r="F867" s="10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10"/>
      <c r="F868" s="10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10"/>
      <c r="F869" s="10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10"/>
      <c r="F870" s="10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10"/>
      <c r="F871" s="10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10"/>
      <c r="F872" s="10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10"/>
      <c r="F873" s="10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10"/>
      <c r="F874" s="10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10"/>
      <c r="F875" s="10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10"/>
      <c r="F876" s="10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10"/>
      <c r="F877" s="10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10"/>
      <c r="F878" s="10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10"/>
      <c r="F879" s="10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10"/>
      <c r="F880" s="10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10"/>
      <c r="F881" s="10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10"/>
      <c r="F882" s="10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10"/>
      <c r="F883" s="10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10"/>
      <c r="F884" s="10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10"/>
      <c r="F885" s="10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10"/>
      <c r="F886" s="10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10"/>
      <c r="F887" s="10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10"/>
      <c r="F888" s="10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10"/>
      <c r="F889" s="10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10"/>
      <c r="F890" s="10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10"/>
      <c r="F891" s="10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10"/>
      <c r="F892" s="10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10"/>
      <c r="F893" s="10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10"/>
      <c r="F894" s="10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10"/>
      <c r="F895" s="10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10"/>
      <c r="F896" s="10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10"/>
      <c r="F897" s="10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10"/>
      <c r="F898" s="10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10"/>
      <c r="F899" s="10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10"/>
      <c r="F900" s="10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10"/>
      <c r="F901" s="10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10"/>
      <c r="F902" s="10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10"/>
      <c r="F903" s="10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10"/>
      <c r="F904" s="10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10"/>
      <c r="F905" s="10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10"/>
      <c r="F906" s="10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10"/>
      <c r="F907" s="10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10"/>
      <c r="F908" s="10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10"/>
      <c r="F909" s="10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10"/>
      <c r="F910" s="10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10"/>
      <c r="F911" s="10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10"/>
      <c r="F912" s="10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10"/>
      <c r="F913" s="10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10"/>
      <c r="F914" s="10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10"/>
      <c r="F915" s="10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10"/>
      <c r="F916" s="10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10"/>
      <c r="F917" s="10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10"/>
      <c r="F918" s="10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10"/>
      <c r="F919" s="10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10"/>
      <c r="F920" s="10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10"/>
      <c r="F921" s="10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10"/>
      <c r="F922" s="10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10"/>
      <c r="F923" s="10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10"/>
      <c r="F924" s="10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10"/>
      <c r="F925" s="10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10"/>
      <c r="F926" s="10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10"/>
      <c r="F927" s="10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10"/>
      <c r="F928" s="10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10"/>
      <c r="F929" s="10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10"/>
      <c r="F930" s="10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10"/>
      <c r="F931" s="10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10"/>
      <c r="F932" s="10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10"/>
      <c r="F933" s="10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10"/>
      <c r="F934" s="10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10"/>
      <c r="F935" s="10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10"/>
      <c r="F936" s="10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10"/>
      <c r="F937" s="10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10"/>
      <c r="F938" s="10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10"/>
      <c r="F939" s="10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10"/>
      <c r="F940" s="10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10"/>
      <c r="F941" s="10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10"/>
      <c r="F942" s="10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10"/>
      <c r="F943" s="10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10"/>
      <c r="F944" s="10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10"/>
      <c r="F945" s="10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10"/>
      <c r="F946" s="10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10"/>
      <c r="F947" s="10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10"/>
      <c r="F948" s="10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10"/>
      <c r="F949" s="10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10"/>
      <c r="F950" s="10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10"/>
      <c r="F951" s="10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10"/>
      <c r="F952" s="10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10"/>
      <c r="F953" s="10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10"/>
      <c r="F954" s="10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10"/>
      <c r="F955" s="10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10"/>
      <c r="F956" s="10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10"/>
      <c r="F957" s="10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10"/>
      <c r="F958" s="10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10"/>
      <c r="F959" s="10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10"/>
      <c r="F960" s="10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10"/>
      <c r="F961" s="10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10"/>
      <c r="F962" s="10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10"/>
      <c r="F963" s="10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10"/>
      <c r="F964" s="10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10"/>
      <c r="F965" s="10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10"/>
      <c r="F966" s="10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10"/>
      <c r="F967" s="10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10"/>
      <c r="F968" s="10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10"/>
      <c r="F969" s="10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10"/>
      <c r="F970" s="10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10"/>
      <c r="F971" s="10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10"/>
      <c r="F972" s="10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10"/>
      <c r="F973" s="10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10"/>
      <c r="F974" s="10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10"/>
      <c r="F975" s="10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10"/>
      <c r="F976" s="10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10"/>
      <c r="F977" s="10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10"/>
      <c r="F978" s="10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10"/>
      <c r="F979" s="10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10"/>
      <c r="F980" s="10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10"/>
      <c r="F981" s="10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10"/>
      <c r="F982" s="10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10"/>
      <c r="F983" s="10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10"/>
      <c r="F984" s="10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10"/>
      <c r="F985" s="10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10"/>
      <c r="F986" s="10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10"/>
      <c r="F987" s="10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10"/>
      <c r="F988" s="10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10"/>
      <c r="F989" s="10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10"/>
      <c r="F990" s="10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10"/>
      <c r="F991" s="10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10"/>
      <c r="F992" s="10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10"/>
      <c r="F993" s="10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10"/>
      <c r="F994" s="10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10"/>
      <c r="F995" s="10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10"/>
      <c r="F996" s="10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10"/>
      <c r="F997" s="10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10"/>
      <c r="F998" s="10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10"/>
      <c r="F999" s="10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10"/>
      <c r="F1000" s="10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1.22" defaultRowHeight="15.0"/>
  <cols>
    <col customWidth="1" min="1" max="1" width="32.44"/>
    <col customWidth="1" min="2" max="2" width="19.0"/>
    <col customWidth="1" min="3" max="3" width="15.11"/>
    <col customWidth="1" min="4" max="4" width="16.0"/>
    <col customWidth="1" min="5" max="5" width="15.67"/>
    <col customWidth="1" min="6" max="11" width="15.11"/>
    <col customWidth="1" min="12" max="12" width="16.78"/>
    <col customWidth="1" min="13" max="13" width="17.11"/>
    <col customWidth="1" min="14" max="26" width="10.5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 t="s">
        <v>97</v>
      </c>
      <c r="B3" s="2">
        <v>4730.0</v>
      </c>
      <c r="C3" s="2"/>
      <c r="D3" s="2"/>
      <c r="E3" s="2"/>
      <c r="F3" s="2"/>
      <c r="G3" s="2"/>
      <c r="H3" s="2"/>
      <c r="I3" s="2"/>
      <c r="J3" s="2"/>
      <c r="K3" s="2" t="s">
        <v>3</v>
      </c>
      <c r="L3" s="2" t="s">
        <v>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6</v>
      </c>
      <c r="L4" s="2" t="s">
        <v>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61</v>
      </c>
      <c r="B5" s="3" t="s">
        <v>97</v>
      </c>
      <c r="C5" s="3" t="s">
        <v>1</v>
      </c>
      <c r="D5" s="3" t="s">
        <v>2</v>
      </c>
      <c r="E5" s="4"/>
      <c r="F5" s="4"/>
      <c r="G5" s="2"/>
      <c r="H5" s="2"/>
      <c r="I5" s="2"/>
      <c r="J5" s="2"/>
      <c r="K5" s="2" t="s">
        <v>8</v>
      </c>
      <c r="L5" s="2" t="s">
        <v>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3</v>
      </c>
      <c r="B6" s="5">
        <f>550+550+165</f>
        <v>1265</v>
      </c>
      <c r="C6" s="6">
        <v>0.08</v>
      </c>
      <c r="D6" s="6">
        <v>0.1</v>
      </c>
      <c r="E6" s="7"/>
      <c r="F6" s="7"/>
      <c r="G6" s="2"/>
      <c r="H6" s="2"/>
      <c r="I6" s="2"/>
      <c r="J6" s="2"/>
      <c r="K6" s="2" t="s">
        <v>10</v>
      </c>
      <c r="L6" s="2" t="s">
        <v>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4</v>
      </c>
      <c r="B7" s="5">
        <f>440+275+2750</f>
        <v>3465</v>
      </c>
      <c r="C7" s="6">
        <v>0.04</v>
      </c>
      <c r="D7" s="6">
        <v>0.1</v>
      </c>
      <c r="E7" s="7"/>
      <c r="F7" s="7"/>
      <c r="G7" s="9">
        <v>0.051006368421052765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/>
      <c r="B8" s="5"/>
      <c r="C8" s="6"/>
      <c r="D8" s="6"/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>
        <v>2175.0</v>
      </c>
      <c r="B9" s="5"/>
      <c r="C9" s="8" t="s">
        <v>12</v>
      </c>
      <c r="D9" s="6"/>
      <c r="E9" s="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13</v>
      </c>
      <c r="B10" s="7">
        <f>B14/B3</f>
        <v>10110.80317</v>
      </c>
      <c r="C10" s="7"/>
      <c r="D10" s="6"/>
      <c r="E10" s="7"/>
      <c r="F10" s="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3</v>
      </c>
      <c r="B11" s="7">
        <f>B10/(1-C6-D6)</f>
        <v>12330.24777</v>
      </c>
      <c r="C11" s="7">
        <f t="shared" ref="C11:C12" si="1">B11*B6</f>
        <v>15597763.43</v>
      </c>
      <c r="D11" s="6"/>
      <c r="E11" s="7"/>
      <c r="F11" s="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4</v>
      </c>
      <c r="B12" s="10">
        <f>B10/(1-C7-D7)</f>
        <v>11756.74787</v>
      </c>
      <c r="C12" s="10">
        <f t="shared" si="1"/>
        <v>40737131.38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15</v>
      </c>
      <c r="B14" s="2">
        <v>4.7824099E7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 t="s">
        <v>16</v>
      </c>
      <c r="B15" s="10">
        <f>SUM(C11:C12)</f>
        <v>56334894.81</v>
      </c>
      <c r="C15" s="10">
        <f>B15*G7</f>
        <v>2873438.4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 t="s">
        <v>17</v>
      </c>
      <c r="B16" s="10">
        <f>(B15+C15)-B14</f>
        <v>11384234.21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" t="s">
        <v>18</v>
      </c>
      <c r="B17" s="11">
        <f>B16/B15</f>
        <v>0.2020813964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19</v>
      </c>
      <c r="B20" s="12" t="s">
        <v>20</v>
      </c>
      <c r="C20" s="1" t="s">
        <v>21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22</v>
      </c>
      <c r="B21" s="13">
        <v>0.25</v>
      </c>
      <c r="C21" s="14">
        <f t="shared" ref="C21:C23" si="2">B21/10</f>
        <v>0.025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23</v>
      </c>
      <c r="B22" s="13">
        <v>0.25</v>
      </c>
      <c r="C22" s="14">
        <f t="shared" si="2"/>
        <v>0.025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24</v>
      </c>
      <c r="B23" s="13">
        <v>0.15</v>
      </c>
      <c r="C23" s="14">
        <f t="shared" si="2"/>
        <v>0.015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13"/>
      <c r="C24" s="14">
        <f>AVERAGE(C21:C23)</f>
        <v>0.02166666667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25</v>
      </c>
      <c r="B26" s="15">
        <v>2176.0</v>
      </c>
      <c r="C26" s="15">
        <v>2177.0</v>
      </c>
      <c r="D26" s="15">
        <f t="shared" ref="D26:L26" si="3">C26+1</f>
        <v>2178</v>
      </c>
      <c r="E26" s="15">
        <f t="shared" si="3"/>
        <v>2179</v>
      </c>
      <c r="F26" s="15">
        <f t="shared" si="3"/>
        <v>2180</v>
      </c>
      <c r="G26" s="15">
        <f t="shared" si="3"/>
        <v>2181</v>
      </c>
      <c r="H26" s="15">
        <f t="shared" si="3"/>
        <v>2182</v>
      </c>
      <c r="I26" s="15">
        <f t="shared" si="3"/>
        <v>2183</v>
      </c>
      <c r="J26" s="15">
        <f t="shared" si="3"/>
        <v>2184</v>
      </c>
      <c r="K26" s="15">
        <f t="shared" si="3"/>
        <v>2185</v>
      </c>
      <c r="L26" s="15">
        <f t="shared" si="3"/>
        <v>2186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26</v>
      </c>
      <c r="B27" s="11">
        <v>0.0371</v>
      </c>
      <c r="C27" s="11">
        <v>0.0295</v>
      </c>
      <c r="D27" s="11">
        <v>0.0302</v>
      </c>
      <c r="E27" s="11">
        <v>0.0323</v>
      </c>
      <c r="F27" s="11">
        <v>0.0307</v>
      </c>
      <c r="G27" s="11">
        <v>0.031</v>
      </c>
      <c r="H27" s="11">
        <v>0.0313</v>
      </c>
      <c r="I27" s="11">
        <v>0.031</v>
      </c>
      <c r="J27" s="11">
        <v>0.0311</v>
      </c>
      <c r="K27" s="11">
        <v>0.0312</v>
      </c>
      <c r="L27" s="11">
        <v>0.0311</v>
      </c>
      <c r="M27" s="1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2" t="s">
        <v>27</v>
      </c>
      <c r="B28" s="53">
        <v>0.0376</v>
      </c>
      <c r="C28" s="53">
        <v>0.0422</v>
      </c>
      <c r="D28" s="53">
        <v>0.0444</v>
      </c>
      <c r="E28" s="53">
        <v>0.0446</v>
      </c>
      <c r="F28" s="53">
        <v>0.044</v>
      </c>
      <c r="G28" s="53">
        <v>0.0426</v>
      </c>
      <c r="H28" s="53">
        <v>0.0436</v>
      </c>
      <c r="I28" s="53">
        <v>0.0438</v>
      </c>
      <c r="J28" s="53">
        <v>0.0437</v>
      </c>
      <c r="K28" s="53">
        <v>0.0435</v>
      </c>
      <c r="L28" s="53">
        <v>0.0434</v>
      </c>
      <c r="M28" s="53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5" t="s">
        <v>28</v>
      </c>
      <c r="B29" s="56">
        <v>3.8265347E7</v>
      </c>
      <c r="C29" s="57">
        <v>5.3332945960144795E7</v>
      </c>
      <c r="D29" s="57">
        <v>5.615236014856028E7</v>
      </c>
      <c r="E29" s="57">
        <v>5.924133517174867E7</v>
      </c>
      <c r="F29" s="57">
        <v>6.240336513307481E7</v>
      </c>
      <c r="G29" s="57">
        <v>6.575330258014853E7</v>
      </c>
      <c r="H29" s="57">
        <v>6.930323133182715E7</v>
      </c>
      <c r="I29" s="57">
        <v>7.30235673961823E7</v>
      </c>
      <c r="J29" s="57">
        <v>7.695108154973204E7</v>
      </c>
      <c r="K29" s="57">
        <v>8.10976983105535E7</v>
      </c>
      <c r="L29" s="57">
        <v>8.545947313602798E7</v>
      </c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5" t="s">
        <v>29</v>
      </c>
      <c r="B30" s="56">
        <v>5.0689537280503795E7</v>
      </c>
      <c r="C30" s="57">
        <v>5.3332945960144795E7</v>
      </c>
      <c r="D30" s="57">
        <v>5.615236014856028E7</v>
      </c>
      <c r="E30" s="57">
        <v>5.924133517174867E7</v>
      </c>
      <c r="F30" s="57">
        <v>6.240336513307481E7</v>
      </c>
      <c r="G30" s="57">
        <v>6.575330258014853E7</v>
      </c>
      <c r="H30" s="57">
        <v>6.930323133182715E7</v>
      </c>
      <c r="I30" s="57">
        <v>7.30235673961823E7</v>
      </c>
      <c r="J30" s="57">
        <v>7.695108154973204E7</v>
      </c>
      <c r="K30" s="57">
        <v>8.10976983105535E7</v>
      </c>
      <c r="L30" s="57">
        <v>8.545947313602798E7</v>
      </c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15.75" customHeight="1">
      <c r="A31" s="55" t="s">
        <v>30</v>
      </c>
      <c r="B31" s="56">
        <v>7.1473251E7</v>
      </c>
      <c r="C31" s="57">
        <v>5.3332945960144795E7</v>
      </c>
      <c r="D31" s="57">
        <v>5.615236014856028E7</v>
      </c>
      <c r="E31" s="57">
        <v>5.924133517174867E7</v>
      </c>
      <c r="F31" s="57">
        <v>6.240336513307481E7</v>
      </c>
      <c r="G31" s="57">
        <v>6.575330258014853E7</v>
      </c>
      <c r="H31" s="57">
        <v>6.930323133182715E7</v>
      </c>
      <c r="I31" s="57">
        <v>7.30235673961823E7</v>
      </c>
      <c r="J31" s="57">
        <v>7.695108154973204E7</v>
      </c>
      <c r="K31" s="57">
        <v>8.10976983105535E7</v>
      </c>
      <c r="L31" s="57">
        <v>8.545947313602798E7</v>
      </c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5.75" customHeight="1">
      <c r="A32" s="55" t="s">
        <v>31</v>
      </c>
      <c r="B32" s="56">
        <v>9.0389501E7</v>
      </c>
      <c r="C32" s="57">
        <v>5.3332945960144795E7</v>
      </c>
      <c r="D32" s="57">
        <v>5.615236014856028E7</v>
      </c>
      <c r="E32" s="57">
        <v>5.924133517174867E7</v>
      </c>
      <c r="F32" s="57">
        <v>6.240336513307481E7</v>
      </c>
      <c r="G32" s="57">
        <v>6.575330258014853E7</v>
      </c>
      <c r="H32" s="57">
        <v>6.930323133182715E7</v>
      </c>
      <c r="I32" s="57">
        <v>7.30235673961823E7</v>
      </c>
      <c r="J32" s="57">
        <v>7.695108154973204E7</v>
      </c>
      <c r="K32" s="57">
        <v>8.10976983105535E7</v>
      </c>
      <c r="L32" s="57">
        <v>8.545947313602798E7</v>
      </c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5.75" customHeight="1">
      <c r="A33" s="55" t="s">
        <v>98</v>
      </c>
      <c r="B33" s="57">
        <v>1.07457419E8</v>
      </c>
      <c r="C33" s="57">
        <v>5.3332945960144795E7</v>
      </c>
      <c r="D33" s="57">
        <v>5.615236014856028E7</v>
      </c>
      <c r="E33" s="57">
        <v>5.924133517174867E7</v>
      </c>
      <c r="F33" s="57">
        <v>6.240336513307481E7</v>
      </c>
      <c r="G33" s="57">
        <v>6.575330258014853E7</v>
      </c>
      <c r="H33" s="57">
        <v>6.930323133182715E7</v>
      </c>
      <c r="I33" s="57">
        <v>7.30235673961823E7</v>
      </c>
      <c r="J33" s="57">
        <v>7.695108154973204E7</v>
      </c>
      <c r="K33" s="57">
        <v>8.10976983105535E7</v>
      </c>
      <c r="L33" s="57">
        <v>8.545947313602798E7</v>
      </c>
      <c r="M33" s="58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5.75" customHeight="1">
      <c r="A34" s="1" t="s">
        <v>99</v>
      </c>
      <c r="B34" s="2">
        <f>B3</f>
        <v>4730</v>
      </c>
      <c r="C34" s="2">
        <f t="shared" ref="C34:L34" si="4">B34*(1+1%)</f>
        <v>4777.3</v>
      </c>
      <c r="D34" s="2">
        <f t="shared" si="4"/>
        <v>4825.073</v>
      </c>
      <c r="E34" s="2">
        <f t="shared" si="4"/>
        <v>4873.32373</v>
      </c>
      <c r="F34" s="2">
        <f t="shared" si="4"/>
        <v>4922.056967</v>
      </c>
      <c r="G34" s="2">
        <f t="shared" si="4"/>
        <v>4971.277537</v>
      </c>
      <c r="H34" s="2">
        <f t="shared" si="4"/>
        <v>5020.990312</v>
      </c>
      <c r="I34" s="2">
        <f t="shared" si="4"/>
        <v>5071.200215</v>
      </c>
      <c r="J34" s="2">
        <f t="shared" si="4"/>
        <v>5121.912218</v>
      </c>
      <c r="K34" s="2">
        <f t="shared" si="4"/>
        <v>5173.13134</v>
      </c>
      <c r="L34" s="2">
        <f t="shared" si="4"/>
        <v>5224.862653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100</v>
      </c>
      <c r="B35" s="2">
        <f t="shared" ref="B35:B36" si="6">B6</f>
        <v>1265</v>
      </c>
      <c r="C35" s="2">
        <f t="shared" ref="C35:L35" si="5">B35*(1+1%)</f>
        <v>1277.65</v>
      </c>
      <c r="D35" s="2">
        <f t="shared" si="5"/>
        <v>1290.4265</v>
      </c>
      <c r="E35" s="2">
        <f t="shared" si="5"/>
        <v>1303.330765</v>
      </c>
      <c r="F35" s="2">
        <f t="shared" si="5"/>
        <v>1316.364073</v>
      </c>
      <c r="G35" s="2">
        <f t="shared" si="5"/>
        <v>1329.527713</v>
      </c>
      <c r="H35" s="2">
        <f t="shared" si="5"/>
        <v>1342.822991</v>
      </c>
      <c r="I35" s="2">
        <f t="shared" si="5"/>
        <v>1356.25122</v>
      </c>
      <c r="J35" s="2">
        <f t="shared" si="5"/>
        <v>1369.813733</v>
      </c>
      <c r="K35" s="2">
        <f t="shared" si="5"/>
        <v>1383.51187</v>
      </c>
      <c r="L35" s="2">
        <f t="shared" si="5"/>
        <v>1397.346989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101</v>
      </c>
      <c r="B36" s="2">
        <f t="shared" si="6"/>
        <v>3465</v>
      </c>
      <c r="C36" s="2">
        <f t="shared" ref="C36:L36" si="7">B36*(1+1%)</f>
        <v>3499.65</v>
      </c>
      <c r="D36" s="2">
        <f t="shared" si="7"/>
        <v>3534.6465</v>
      </c>
      <c r="E36" s="2">
        <f t="shared" si="7"/>
        <v>3569.992965</v>
      </c>
      <c r="F36" s="2">
        <f t="shared" si="7"/>
        <v>3605.692895</v>
      </c>
      <c r="G36" s="2">
        <f t="shared" si="7"/>
        <v>3641.749824</v>
      </c>
      <c r="H36" s="2">
        <f t="shared" si="7"/>
        <v>3678.167322</v>
      </c>
      <c r="I36" s="2">
        <f t="shared" si="7"/>
        <v>3714.948995</v>
      </c>
      <c r="J36" s="2">
        <f t="shared" si="7"/>
        <v>3752.098485</v>
      </c>
      <c r="K36" s="2">
        <f t="shared" si="7"/>
        <v>3789.61947</v>
      </c>
      <c r="L36" s="2">
        <f t="shared" si="7"/>
        <v>3827.515665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33</v>
      </c>
      <c r="B37" s="10">
        <f t="shared" ref="B37:L37" si="8">(B33/B34)*(1+B27)</f>
        <v>23561.11823</v>
      </c>
      <c r="C37" s="10">
        <f t="shared" si="8"/>
        <v>11493.15887</v>
      </c>
      <c r="D37" s="10">
        <f t="shared" si="8"/>
        <v>11989.07486</v>
      </c>
      <c r="E37" s="10">
        <f t="shared" si="8"/>
        <v>12548.89551</v>
      </c>
      <c r="F37" s="10">
        <f t="shared" si="8"/>
        <v>13067.53434</v>
      </c>
      <c r="G37" s="10">
        <f t="shared" si="8"/>
        <v>13636.66672</v>
      </c>
      <c r="H37" s="10">
        <f t="shared" si="8"/>
        <v>14234.72622</v>
      </c>
      <c r="I37" s="10">
        <f t="shared" si="8"/>
        <v>14846.05119</v>
      </c>
      <c r="J37" s="10">
        <f t="shared" si="8"/>
        <v>15491.14019</v>
      </c>
      <c r="K37" s="10">
        <f t="shared" si="8"/>
        <v>16165.82704</v>
      </c>
      <c r="L37" s="10">
        <f t="shared" si="8"/>
        <v>16864.99122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34</v>
      </c>
      <c r="B38" s="17">
        <f t="shared" ref="B38:L38" si="9">(1-$C$6-$D$6)</f>
        <v>0.82</v>
      </c>
      <c r="C38" s="17">
        <f t="shared" si="9"/>
        <v>0.82</v>
      </c>
      <c r="D38" s="17">
        <f t="shared" si="9"/>
        <v>0.82</v>
      </c>
      <c r="E38" s="17">
        <f t="shared" si="9"/>
        <v>0.82</v>
      </c>
      <c r="F38" s="17">
        <f t="shared" si="9"/>
        <v>0.82</v>
      </c>
      <c r="G38" s="17">
        <f t="shared" si="9"/>
        <v>0.82</v>
      </c>
      <c r="H38" s="17">
        <f t="shared" si="9"/>
        <v>0.82</v>
      </c>
      <c r="I38" s="17">
        <f t="shared" si="9"/>
        <v>0.82</v>
      </c>
      <c r="J38" s="17">
        <f t="shared" si="9"/>
        <v>0.82</v>
      </c>
      <c r="K38" s="17">
        <f t="shared" si="9"/>
        <v>0.82</v>
      </c>
      <c r="L38" s="17">
        <f t="shared" si="9"/>
        <v>0.82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81</v>
      </c>
      <c r="B39" s="17">
        <f t="shared" ref="B39:L39" si="10">(1-$C$7-$D$7)</f>
        <v>0.86</v>
      </c>
      <c r="C39" s="17">
        <f t="shared" si="10"/>
        <v>0.86</v>
      </c>
      <c r="D39" s="17">
        <f t="shared" si="10"/>
        <v>0.86</v>
      </c>
      <c r="E39" s="17">
        <f t="shared" si="10"/>
        <v>0.86</v>
      </c>
      <c r="F39" s="17">
        <f t="shared" si="10"/>
        <v>0.86</v>
      </c>
      <c r="G39" s="17">
        <f t="shared" si="10"/>
        <v>0.86</v>
      </c>
      <c r="H39" s="17">
        <f t="shared" si="10"/>
        <v>0.86</v>
      </c>
      <c r="I39" s="17">
        <f t="shared" si="10"/>
        <v>0.86</v>
      </c>
      <c r="J39" s="17">
        <f t="shared" si="10"/>
        <v>0.86</v>
      </c>
      <c r="K39" s="17">
        <f t="shared" si="10"/>
        <v>0.86</v>
      </c>
      <c r="L39" s="17">
        <f t="shared" si="10"/>
        <v>0.86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35</v>
      </c>
      <c r="B40" s="10">
        <f t="shared" ref="B40:L40" si="11">B37/B38</f>
        <v>28733.07102</v>
      </c>
      <c r="C40" s="10">
        <f t="shared" si="11"/>
        <v>14016.0474</v>
      </c>
      <c r="D40" s="10">
        <f t="shared" si="11"/>
        <v>14620.82301</v>
      </c>
      <c r="E40" s="10">
        <f t="shared" si="11"/>
        <v>15303.53112</v>
      </c>
      <c r="F40" s="10">
        <f t="shared" si="11"/>
        <v>15936.01749</v>
      </c>
      <c r="G40" s="10">
        <f t="shared" si="11"/>
        <v>16630.08137</v>
      </c>
      <c r="H40" s="10">
        <f t="shared" si="11"/>
        <v>17359.42223</v>
      </c>
      <c r="I40" s="10">
        <f t="shared" si="11"/>
        <v>18104.94047</v>
      </c>
      <c r="J40" s="10">
        <f t="shared" si="11"/>
        <v>18891.63437</v>
      </c>
      <c r="K40" s="10">
        <f t="shared" si="11"/>
        <v>19714.42322</v>
      </c>
      <c r="L40" s="10">
        <f t="shared" si="11"/>
        <v>20567.06246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 t="s">
        <v>102</v>
      </c>
      <c r="B41" s="10">
        <f t="shared" ref="B41:L41" si="12">B37/B39</f>
        <v>27396.64911</v>
      </c>
      <c r="C41" s="10">
        <f t="shared" si="12"/>
        <v>13364.13822</v>
      </c>
      <c r="D41" s="10">
        <f t="shared" si="12"/>
        <v>13940.78473</v>
      </c>
      <c r="E41" s="10">
        <f t="shared" si="12"/>
        <v>14591.73897</v>
      </c>
      <c r="F41" s="10">
        <f t="shared" si="12"/>
        <v>15194.80737</v>
      </c>
      <c r="G41" s="10">
        <f t="shared" si="12"/>
        <v>15856.58921</v>
      </c>
      <c r="H41" s="10">
        <f t="shared" si="12"/>
        <v>16552.00724</v>
      </c>
      <c r="I41" s="10">
        <f t="shared" si="12"/>
        <v>17262.85022</v>
      </c>
      <c r="J41" s="10">
        <f t="shared" si="12"/>
        <v>18012.95371</v>
      </c>
      <c r="K41" s="10">
        <f t="shared" si="12"/>
        <v>18797.4733</v>
      </c>
      <c r="L41" s="10">
        <f t="shared" si="12"/>
        <v>19610.4549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36</v>
      </c>
      <c r="B42" s="10">
        <f t="shared" ref="B42:L42" si="13">B40*B35</f>
        <v>36347334.84</v>
      </c>
      <c r="C42" s="10">
        <f t="shared" si="13"/>
        <v>17907602.96</v>
      </c>
      <c r="D42" s="2">
        <f t="shared" si="13"/>
        <v>18867097.46</v>
      </c>
      <c r="E42" s="10">
        <f t="shared" si="13"/>
        <v>19945562.92</v>
      </c>
      <c r="F42" s="2">
        <f t="shared" si="13"/>
        <v>20977600.88</v>
      </c>
      <c r="G42" s="2">
        <f t="shared" si="13"/>
        <v>22110154.06</v>
      </c>
      <c r="H42" s="2">
        <f t="shared" si="13"/>
        <v>23310631.27</v>
      </c>
      <c r="I42" s="2">
        <f t="shared" si="13"/>
        <v>24554847.61</v>
      </c>
      <c r="J42" s="2">
        <f t="shared" si="13"/>
        <v>25878020.2</v>
      </c>
      <c r="K42" s="2">
        <f t="shared" si="13"/>
        <v>27275138.53</v>
      </c>
      <c r="L42" s="2">
        <f t="shared" si="13"/>
        <v>28739322.79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103</v>
      </c>
      <c r="B43" s="10">
        <f t="shared" ref="B43:L43" si="14">B41*B36</f>
        <v>94929389.16</v>
      </c>
      <c r="C43" s="2">
        <f t="shared" si="14"/>
        <v>46769806.32</v>
      </c>
      <c r="D43" s="2">
        <f t="shared" si="14"/>
        <v>49275745.94</v>
      </c>
      <c r="E43" s="10">
        <f t="shared" si="14"/>
        <v>52092405.47</v>
      </c>
      <c r="F43" s="2">
        <f t="shared" si="14"/>
        <v>54787808.98</v>
      </c>
      <c r="G43" s="2">
        <f t="shared" si="14"/>
        <v>57745730.97</v>
      </c>
      <c r="H43" s="2">
        <f t="shared" si="14"/>
        <v>60881052.13</v>
      </c>
      <c r="I43" s="2">
        <f t="shared" si="14"/>
        <v>64130608.07</v>
      </c>
      <c r="J43" s="2">
        <f t="shared" si="14"/>
        <v>67586376.31</v>
      </c>
      <c r="K43" s="2">
        <f t="shared" si="14"/>
        <v>71235270.81</v>
      </c>
      <c r="L43" s="2">
        <f t="shared" si="14"/>
        <v>75059323.33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9" t="s">
        <v>104</v>
      </c>
      <c r="B44" s="60">
        <v>6.192551856E7</v>
      </c>
      <c r="C44" s="61">
        <v>6.467740928E7</v>
      </c>
      <c r="D44" s="61">
        <v>6.81428434E7</v>
      </c>
      <c r="E44" s="61">
        <v>7.203796839E7</v>
      </c>
      <c r="F44" s="61">
        <v>7.576540986E7</v>
      </c>
      <c r="G44" s="61">
        <v>7.985588503E7</v>
      </c>
      <c r="H44" s="61">
        <v>8.41916834E7</v>
      </c>
      <c r="I44" s="61">
        <v>8.868545569E7</v>
      </c>
      <c r="J44" s="61">
        <v>9.34643965E7</v>
      </c>
      <c r="K44" s="61">
        <v>9.851040935E7</v>
      </c>
      <c r="L44" s="61">
        <v>1.037986461E8</v>
      </c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1" t="s">
        <v>37</v>
      </c>
      <c r="B45" s="10">
        <f t="shared" ref="B45:L45" si="15">B44*B28</f>
        <v>2328399.498</v>
      </c>
      <c r="C45" s="10">
        <f t="shared" si="15"/>
        <v>2729386.672</v>
      </c>
      <c r="D45" s="10">
        <f t="shared" si="15"/>
        <v>3025542.247</v>
      </c>
      <c r="E45" s="10">
        <f t="shared" si="15"/>
        <v>3212893.39</v>
      </c>
      <c r="F45" s="10">
        <f t="shared" si="15"/>
        <v>3333678.034</v>
      </c>
      <c r="G45" s="10">
        <f t="shared" si="15"/>
        <v>3401860.702</v>
      </c>
      <c r="H45" s="10">
        <f t="shared" si="15"/>
        <v>3670757.396</v>
      </c>
      <c r="I45" s="10">
        <f t="shared" si="15"/>
        <v>3884422.959</v>
      </c>
      <c r="J45" s="10">
        <f t="shared" si="15"/>
        <v>4084394.127</v>
      </c>
      <c r="K45" s="10">
        <f t="shared" si="15"/>
        <v>4285202.807</v>
      </c>
      <c r="L45" s="10">
        <f t="shared" si="15"/>
        <v>4504861.241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 t="s">
        <v>16</v>
      </c>
      <c r="B46" s="10">
        <f t="shared" ref="B46:L46" si="16">B44+B45</f>
        <v>64253918.06</v>
      </c>
      <c r="C46" s="10">
        <f t="shared" si="16"/>
        <v>67406795.95</v>
      </c>
      <c r="D46" s="10">
        <f t="shared" si="16"/>
        <v>71168385.65</v>
      </c>
      <c r="E46" s="10">
        <f t="shared" si="16"/>
        <v>75250861.78</v>
      </c>
      <c r="F46" s="10">
        <f t="shared" si="16"/>
        <v>79099087.89</v>
      </c>
      <c r="G46" s="10">
        <f t="shared" si="16"/>
        <v>83257745.73</v>
      </c>
      <c r="H46" s="10">
        <f t="shared" si="16"/>
        <v>87862440.8</v>
      </c>
      <c r="I46" s="10">
        <f t="shared" si="16"/>
        <v>92569878.65</v>
      </c>
      <c r="J46" s="10">
        <f t="shared" si="16"/>
        <v>97548790.63</v>
      </c>
      <c r="K46" s="10">
        <f t="shared" si="16"/>
        <v>102795612.2</v>
      </c>
      <c r="L46" s="10">
        <f t="shared" si="16"/>
        <v>108303507.3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 t="s">
        <v>38</v>
      </c>
      <c r="B47" s="10">
        <f t="shared" ref="B47:L47" si="17">B46-B33</f>
        <v>-43203500.94</v>
      </c>
      <c r="C47" s="10">
        <f t="shared" si="17"/>
        <v>14073849.99</v>
      </c>
      <c r="D47" s="10">
        <f t="shared" si="17"/>
        <v>15016025.5</v>
      </c>
      <c r="E47" s="10">
        <f t="shared" si="17"/>
        <v>16009526.61</v>
      </c>
      <c r="F47" s="10">
        <f t="shared" si="17"/>
        <v>16695722.76</v>
      </c>
      <c r="G47" s="10">
        <f t="shared" si="17"/>
        <v>17504443.15</v>
      </c>
      <c r="H47" s="10">
        <f t="shared" si="17"/>
        <v>18559209.46</v>
      </c>
      <c r="I47" s="10">
        <f t="shared" si="17"/>
        <v>19546311.25</v>
      </c>
      <c r="J47" s="10">
        <f t="shared" si="17"/>
        <v>20597709.08</v>
      </c>
      <c r="K47" s="10">
        <f t="shared" si="17"/>
        <v>21697913.85</v>
      </c>
      <c r="L47" s="10">
        <f t="shared" si="17"/>
        <v>22844034.2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 t="s">
        <v>18</v>
      </c>
      <c r="B48" s="11">
        <f t="shared" ref="B48:L48" si="18">B47/B46</f>
        <v>-0.6723870271</v>
      </c>
      <c r="C48" s="11">
        <f t="shared" si="18"/>
        <v>0.2087897784</v>
      </c>
      <c r="D48" s="11">
        <f t="shared" si="18"/>
        <v>0.21099292</v>
      </c>
      <c r="E48" s="11">
        <f t="shared" si="18"/>
        <v>0.2127487477</v>
      </c>
      <c r="F48" s="11">
        <f t="shared" si="18"/>
        <v>0.2110735181</v>
      </c>
      <c r="G48" s="11">
        <f t="shared" si="18"/>
        <v>0.2102440199</v>
      </c>
      <c r="H48" s="11">
        <f t="shared" si="18"/>
        <v>0.211230297</v>
      </c>
      <c r="I48" s="11">
        <f t="shared" si="18"/>
        <v>0.2111519593</v>
      </c>
      <c r="J48" s="11">
        <f t="shared" si="18"/>
        <v>0.2111528902</v>
      </c>
      <c r="K48" s="11">
        <f t="shared" si="18"/>
        <v>0.2110782104</v>
      </c>
      <c r="L48" s="11">
        <f t="shared" si="18"/>
        <v>0.2109260795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 t="s">
        <v>39</v>
      </c>
      <c r="B49" s="10">
        <f>0.5*B16+B44*(1-A57)</f>
        <v>8788393.033</v>
      </c>
      <c r="C49" s="10">
        <f t="shared" ref="C49:L49" si="19">B49+C44*(1-$A$57)</f>
        <v>12022263.5</v>
      </c>
      <c r="D49" s="10">
        <f t="shared" si="19"/>
        <v>15429405.67</v>
      </c>
      <c r="E49" s="10">
        <f t="shared" si="19"/>
        <v>19031304.09</v>
      </c>
      <c r="F49" s="10">
        <f t="shared" si="19"/>
        <v>22819574.58</v>
      </c>
      <c r="G49" s="10">
        <f t="shared" si="19"/>
        <v>26812368.83</v>
      </c>
      <c r="H49" s="10">
        <f t="shared" si="19"/>
        <v>31021953</v>
      </c>
      <c r="I49" s="10">
        <f t="shared" si="19"/>
        <v>35456225.79</v>
      </c>
      <c r="J49" s="10">
        <f t="shared" si="19"/>
        <v>40129445.61</v>
      </c>
      <c r="K49" s="10">
        <f t="shared" si="19"/>
        <v>45054966.08</v>
      </c>
      <c r="L49" s="10">
        <f t="shared" si="19"/>
        <v>50244898.38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 t="s">
        <v>40</v>
      </c>
      <c r="B50" s="10">
        <f>(0.5*B16+A57*B44)*(1+B28)</f>
        <v>66947362.86</v>
      </c>
      <c r="C50" s="10">
        <f t="shared" ref="C50:L50" si="20">(B50+C44*$A$57)*(1+C28)</f>
        <v>133808997.7</v>
      </c>
      <c r="D50" s="10">
        <f t="shared" si="20"/>
        <v>207360083.6</v>
      </c>
      <c r="E50" s="10">
        <f t="shared" si="20"/>
        <v>288096662</v>
      </c>
      <c r="F50" s="10">
        <f t="shared" si="20"/>
        <v>375917048.6</v>
      </c>
      <c r="G50" s="10">
        <f t="shared" si="20"/>
        <v>471025973.4</v>
      </c>
      <c r="H50" s="10">
        <f t="shared" si="20"/>
        <v>575032024.6</v>
      </c>
      <c r="I50" s="10">
        <f t="shared" si="20"/>
        <v>688159811.9</v>
      </c>
      <c r="J50" s="10">
        <f t="shared" si="20"/>
        <v>810903746.8</v>
      </c>
      <c r="K50" s="10">
        <f t="shared" si="20"/>
        <v>943833891.4</v>
      </c>
      <c r="L50" s="10">
        <f t="shared" si="20"/>
        <v>1087684614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5" t="s">
        <v>41</v>
      </c>
      <c r="B51" s="11">
        <f>(B50-B33-B16)/(B50+B44)</f>
        <v>-0.4026781257</v>
      </c>
      <c r="C51" s="11">
        <f t="shared" ref="C51:L51" si="21">(C50-B50-C33)/(C44+C50-B50)</f>
        <v>0.1028492262</v>
      </c>
      <c r="D51" s="11">
        <f t="shared" si="21"/>
        <v>0.1227909044</v>
      </c>
      <c r="E51" s="11">
        <f t="shared" si="21"/>
        <v>0.1406991131</v>
      </c>
      <c r="F51" s="11">
        <f t="shared" si="21"/>
        <v>0.1553742564</v>
      </c>
      <c r="G51" s="11">
        <f t="shared" si="21"/>
        <v>0.1677801506</v>
      </c>
      <c r="H51" s="11">
        <f t="shared" si="21"/>
        <v>0.1843955239</v>
      </c>
      <c r="I51" s="11">
        <f t="shared" si="21"/>
        <v>0.1987194665</v>
      </c>
      <c r="J51" s="11">
        <f t="shared" si="21"/>
        <v>0.2117996704</v>
      </c>
      <c r="K51" s="11">
        <f t="shared" si="21"/>
        <v>0.2239557647</v>
      </c>
      <c r="L51" s="11">
        <f t="shared" si="21"/>
        <v>0.2357819443</v>
      </c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62" t="s">
        <v>42</v>
      </c>
      <c r="B52" s="48">
        <f>(B50-$B$16-SUM($B29))/(B50+SUM($B44))</f>
        <v>0.1342235966</v>
      </c>
      <c r="C52" s="48">
        <f t="shared" ref="C52:L52" si="22">(C50-$B$16-SUM($B29:C29))/(C50+SUM($B44:C44))</f>
        <v>0.1183758021</v>
      </c>
      <c r="D52" s="48">
        <f t="shared" si="22"/>
        <v>0.1199315944</v>
      </c>
      <c r="E52" s="48">
        <f t="shared" si="22"/>
        <v>0.1256494901</v>
      </c>
      <c r="F52" s="48">
        <f t="shared" si="22"/>
        <v>0.1324174488</v>
      </c>
      <c r="G52" s="48">
        <f t="shared" si="22"/>
        <v>0.1393426936</v>
      </c>
      <c r="H52" s="48">
        <f t="shared" si="22"/>
        <v>0.14718165</v>
      </c>
      <c r="I52" s="48">
        <f t="shared" si="22"/>
        <v>0.15528565</v>
      </c>
      <c r="J52" s="48">
        <f t="shared" si="22"/>
        <v>0.1634334175</v>
      </c>
      <c r="K52" s="48">
        <f t="shared" si="22"/>
        <v>0.1715250352</v>
      </c>
      <c r="L52" s="48">
        <f t="shared" si="22"/>
        <v>0.179567113</v>
      </c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62" t="s">
        <v>43</v>
      </c>
      <c r="B53" s="48">
        <f>(B50-$B$16-SUM($B30))/(B50+SUM($B44))</f>
        <v>0.03781704358</v>
      </c>
      <c r="C53" s="48">
        <f t="shared" ref="C53:L53" si="23">(C50-$B$16-SUM($B30:C30))/(C50+SUM($B44:C44))</f>
        <v>0.0706660428</v>
      </c>
      <c r="D53" s="48">
        <f t="shared" si="23"/>
        <v>0.08903378442</v>
      </c>
      <c r="E53" s="48">
        <f t="shared" si="23"/>
        <v>0.1032587366</v>
      </c>
      <c r="F53" s="48">
        <f t="shared" si="23"/>
        <v>0.1151247908</v>
      </c>
      <c r="G53" s="48">
        <f t="shared" si="23"/>
        <v>0.1254365383</v>
      </c>
      <c r="H53" s="48">
        <f t="shared" si="23"/>
        <v>0.1356950929</v>
      </c>
      <c r="I53" s="48">
        <f t="shared" si="23"/>
        <v>0.1456052824</v>
      </c>
      <c r="J53" s="48">
        <f t="shared" si="23"/>
        <v>0.1551486926</v>
      </c>
      <c r="K53" s="48">
        <f t="shared" si="23"/>
        <v>0.1643479479</v>
      </c>
      <c r="L53" s="48">
        <f t="shared" si="23"/>
        <v>0.1732882746</v>
      </c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62" t="s">
        <v>44</v>
      </c>
      <c r="B54" s="48">
        <f>(B50-$B$16-SUM($B31))/(B50+SUM($B44))</f>
        <v>-0.1234559371</v>
      </c>
      <c r="C54" s="48">
        <f t="shared" ref="C54:L54" si="24">(C50-$B$16-SUM($B31:C31))/(C50+SUM($B44:C44))</f>
        <v>-0.009144870901</v>
      </c>
      <c r="D54" s="48">
        <f t="shared" si="24"/>
        <v>0.03734661432</v>
      </c>
      <c r="E54" s="48">
        <f t="shared" si="24"/>
        <v>0.06580253225</v>
      </c>
      <c r="F54" s="48">
        <f t="shared" si="24"/>
        <v>0.08619689719</v>
      </c>
      <c r="G54" s="48">
        <f t="shared" si="24"/>
        <v>0.1021737307</v>
      </c>
      <c r="H54" s="48">
        <f t="shared" si="24"/>
        <v>0.1164798919</v>
      </c>
      <c r="I54" s="48">
        <f t="shared" si="24"/>
        <v>0.1294115518</v>
      </c>
      <c r="J54" s="48">
        <f t="shared" si="24"/>
        <v>0.1412896526</v>
      </c>
      <c r="K54" s="48">
        <f t="shared" si="24"/>
        <v>0.1523418112</v>
      </c>
      <c r="L54" s="48">
        <f t="shared" si="24"/>
        <v>0.1627847667</v>
      </c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62" t="s">
        <v>45</v>
      </c>
      <c r="B55" s="48">
        <f>(B50-$B$16-SUM($B32))/(B50+SUM($B44))</f>
        <v>-0.2702381755</v>
      </c>
      <c r="C55" s="48">
        <f t="shared" ref="C55:L55" si="25">(C50-$B$16-SUM($B32:C32))/(C50+SUM($B44:C44))</f>
        <v>-0.08178459337</v>
      </c>
      <c r="D55" s="48">
        <f t="shared" si="25"/>
        <v>-0.009696346567</v>
      </c>
      <c r="E55" s="48">
        <f t="shared" si="25"/>
        <v>0.03171185263</v>
      </c>
      <c r="F55" s="48">
        <f t="shared" si="25"/>
        <v>0.05986824033</v>
      </c>
      <c r="G55" s="48">
        <f t="shared" si="25"/>
        <v>0.08100113889</v>
      </c>
      <c r="H55" s="48">
        <f t="shared" si="25"/>
        <v>0.0989912202</v>
      </c>
      <c r="I55" s="48">
        <f t="shared" si="25"/>
        <v>0.1146728646</v>
      </c>
      <c r="J55" s="48">
        <f t="shared" si="25"/>
        <v>0.1286758787</v>
      </c>
      <c r="K55" s="48">
        <f t="shared" si="25"/>
        <v>0.141414453</v>
      </c>
      <c r="L55" s="48">
        <f t="shared" si="25"/>
        <v>0.1532250228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63" t="s">
        <v>53</v>
      </c>
      <c r="B56" s="20">
        <f>(B50-B33-B16)/(B50+B44)</f>
        <v>-0.4026781257</v>
      </c>
      <c r="C56" s="48">
        <f t="shared" ref="C56:L56" si="26">(C50-$B$16-SUM($B33:C33))/(C50+SUM($B44:C44))</f>
        <v>-0.1473265917</v>
      </c>
      <c r="D56" s="48">
        <f t="shared" si="26"/>
        <v>-0.05214267704</v>
      </c>
      <c r="E56" s="48">
        <f t="shared" si="26"/>
        <v>0.0009522187504</v>
      </c>
      <c r="F56" s="48">
        <f t="shared" si="26"/>
        <v>0.03611219162</v>
      </c>
      <c r="G56" s="48">
        <f t="shared" si="26"/>
        <v>0.06189734928</v>
      </c>
      <c r="H56" s="48">
        <f t="shared" si="26"/>
        <v>0.0832113899</v>
      </c>
      <c r="I56" s="48">
        <f t="shared" si="26"/>
        <v>0.1013743141</v>
      </c>
      <c r="J56" s="48">
        <f t="shared" si="26"/>
        <v>0.1172946135</v>
      </c>
      <c r="K56" s="48">
        <f t="shared" si="26"/>
        <v>0.1315548215</v>
      </c>
      <c r="L56" s="48">
        <f t="shared" si="26"/>
        <v>0.1445993742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>
        <v>0.95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3" t="s">
        <v>25</v>
      </c>
      <c r="C59" s="21">
        <v>2176.0</v>
      </c>
      <c r="D59" s="21">
        <v>2177.0</v>
      </c>
      <c r="E59" s="21">
        <v>2178.0</v>
      </c>
      <c r="F59" s="21">
        <v>2179.0</v>
      </c>
      <c r="G59" s="21">
        <v>2180.0</v>
      </c>
      <c r="H59" s="21">
        <v>2181.0</v>
      </c>
      <c r="I59" s="21">
        <v>2182.0</v>
      </c>
      <c r="J59" s="21">
        <v>2183.0</v>
      </c>
      <c r="K59" s="21">
        <v>2184.0</v>
      </c>
      <c r="L59" s="21">
        <v>2185.0</v>
      </c>
      <c r="M59" s="21">
        <v>2186.0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3" t="s">
        <v>46</v>
      </c>
      <c r="C60" s="7">
        <f>50689537.28/1000000</f>
        <v>50.68953728</v>
      </c>
      <c r="D60" s="7">
        <f>53332945.96/1000000</f>
        <v>53.33294596</v>
      </c>
      <c r="E60" s="7">
        <f>56152360.15/1000000</f>
        <v>56.15236015</v>
      </c>
      <c r="F60" s="7">
        <f>59241335.17/1000000</f>
        <v>59.24133517</v>
      </c>
      <c r="G60" s="7">
        <f>62403365.13/1000000</f>
        <v>62.40336513</v>
      </c>
      <c r="H60" s="7">
        <f>65753302.58/1000000</f>
        <v>65.75330258</v>
      </c>
      <c r="I60" s="7">
        <f>69303231.33/1000000</f>
        <v>69.30323133</v>
      </c>
      <c r="J60" s="7">
        <f>73023567.4/1000000</f>
        <v>73.0235674</v>
      </c>
      <c r="K60" s="7">
        <f>76951081.55/1000000</f>
        <v>76.95108155</v>
      </c>
      <c r="L60" s="7">
        <f>81097698.31/1000000</f>
        <v>81.09769831</v>
      </c>
      <c r="M60" s="7">
        <f>85459473.14/1000000</f>
        <v>85.45947314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3" t="s">
        <v>18</v>
      </c>
      <c r="C61" s="22">
        <v>0.2111</v>
      </c>
      <c r="D61" s="22">
        <v>0.2088</v>
      </c>
      <c r="E61" s="22">
        <v>0.211</v>
      </c>
      <c r="F61" s="22">
        <v>0.2127</v>
      </c>
      <c r="G61" s="22">
        <v>0.2111</v>
      </c>
      <c r="H61" s="22">
        <v>0.2102</v>
      </c>
      <c r="I61" s="22">
        <v>0.2112</v>
      </c>
      <c r="J61" s="22">
        <v>0.2112</v>
      </c>
      <c r="K61" s="22">
        <v>0.2112</v>
      </c>
      <c r="L61" s="22">
        <v>0.2111</v>
      </c>
      <c r="M61" s="22">
        <v>0.2109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29.78"/>
    <col customWidth="1" min="2" max="2" width="16.33"/>
    <col customWidth="1" min="3" max="3" width="14.78"/>
    <col customWidth="1" min="4" max="4" width="18.78"/>
    <col customWidth="1" min="5" max="5" width="16.0"/>
    <col customWidth="1" min="6" max="8" width="18.33"/>
    <col customWidth="1" min="9" max="9" width="28.33"/>
    <col customWidth="1" min="10" max="10" width="18.33"/>
    <col customWidth="1" min="11" max="11" width="24.67"/>
    <col customWidth="1" min="12" max="12" width="28.67"/>
    <col customWidth="1" min="13" max="13" width="29.67"/>
    <col customWidth="1" min="14" max="16" width="10.78"/>
    <col customWidth="1" min="17" max="17" width="21.0"/>
    <col customWidth="1" min="18" max="26" width="10.56"/>
  </cols>
  <sheetData>
    <row r="1" ht="15.75" customHeight="1">
      <c r="A1" s="2" t="s">
        <v>54</v>
      </c>
      <c r="B1" s="2">
        <v>35000.0</v>
      </c>
      <c r="C1" s="2"/>
      <c r="D1" s="2"/>
      <c r="E1" s="10"/>
      <c r="F1" s="10"/>
      <c r="G1" s="2"/>
      <c r="H1" s="2"/>
      <c r="I1" s="2" t="s">
        <v>55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10"/>
      <c r="F2" s="10"/>
      <c r="G2" s="2"/>
      <c r="H2" s="2"/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/>
      <c r="O2" s="2"/>
      <c r="P2" s="11">
        <v>0.03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10"/>
      <c r="F3" s="10"/>
      <c r="G3" s="2"/>
      <c r="H3" s="2"/>
      <c r="I3" s="33">
        <v>2160.0</v>
      </c>
      <c r="J3" s="9">
        <v>0.037694526796428575</v>
      </c>
      <c r="K3" s="9">
        <v>0.0015175498082191765</v>
      </c>
      <c r="L3" s="9">
        <v>0.0024138414842191764</v>
      </c>
      <c r="M3" s="9">
        <v>0.03112408563435918</v>
      </c>
      <c r="N3" s="2"/>
      <c r="O3" s="2"/>
      <c r="P3" s="11">
        <v>0.0295</v>
      </c>
      <c r="Q3" s="34">
        <f t="shared" ref="Q3:Q13" si="1">(P3-P2)</f>
        <v>-0.0005</v>
      </c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61</v>
      </c>
      <c r="B4" s="2" t="s">
        <v>54</v>
      </c>
      <c r="C4" s="2" t="s">
        <v>1</v>
      </c>
      <c r="D4" s="2" t="s">
        <v>2</v>
      </c>
      <c r="E4" s="10"/>
      <c r="F4" s="10"/>
      <c r="G4" s="2"/>
      <c r="H4" s="2"/>
      <c r="I4" s="33">
        <v>2161.0</v>
      </c>
      <c r="J4" s="9">
        <v>0.023173022985428574</v>
      </c>
      <c r="K4" s="9">
        <v>0.0019996170491803225</v>
      </c>
      <c r="L4" s="9">
        <v>0.002392136118980322</v>
      </c>
      <c r="M4" s="9">
        <v>0.02076300661018032</v>
      </c>
      <c r="N4" s="2"/>
      <c r="O4" s="2"/>
      <c r="P4" s="11">
        <v>0.0302</v>
      </c>
      <c r="Q4" s="34">
        <f t="shared" si="1"/>
        <v>0.0007</v>
      </c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62</v>
      </c>
      <c r="B5" s="2">
        <v>6003.0</v>
      </c>
      <c r="C5" s="13">
        <v>0.01</v>
      </c>
      <c r="D5" s="13">
        <v>0.1</v>
      </c>
      <c r="E5" s="10"/>
      <c r="F5" s="10"/>
      <c r="G5" s="2"/>
      <c r="H5" s="2"/>
      <c r="I5" s="33">
        <v>2162.0</v>
      </c>
      <c r="J5" s="9">
        <v>0.014768714532000004</v>
      </c>
      <c r="K5" s="9">
        <v>0.0016286848000000016</v>
      </c>
      <c r="L5" s="9">
        <v>0.0019298700931000016</v>
      </c>
      <c r="M5" s="9">
        <v>0.027251167612330006</v>
      </c>
      <c r="N5" s="2"/>
      <c r="O5" s="2"/>
      <c r="P5" s="11">
        <v>0.0323</v>
      </c>
      <c r="Q5" s="34">
        <f t="shared" si="1"/>
        <v>0.0021</v>
      </c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63</v>
      </c>
      <c r="B6" s="2">
        <v>1205.0</v>
      </c>
      <c r="C6" s="13">
        <v>0.06</v>
      </c>
      <c r="D6" s="13">
        <v>0.1</v>
      </c>
      <c r="E6" s="10"/>
      <c r="F6" s="10"/>
      <c r="G6" s="2"/>
      <c r="H6" s="2"/>
      <c r="I6" s="33">
        <v>2163.0</v>
      </c>
      <c r="J6" s="9">
        <v>0.010826943980142861</v>
      </c>
      <c r="K6" s="9">
        <v>0.0013475138630136983</v>
      </c>
      <c r="L6" s="9">
        <v>0.0017443105410536984</v>
      </c>
      <c r="M6" s="9">
        <v>0.028728069672213696</v>
      </c>
      <c r="N6" s="2"/>
      <c r="O6" s="2"/>
      <c r="P6" s="11">
        <v>0.0307</v>
      </c>
      <c r="Q6" s="34">
        <f t="shared" si="1"/>
        <v>-0.0016</v>
      </c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64</v>
      </c>
      <c r="B7" s="2">
        <v>19790.0</v>
      </c>
      <c r="C7" s="13">
        <v>0.1</v>
      </c>
      <c r="D7" s="13">
        <v>0.1</v>
      </c>
      <c r="E7" s="10"/>
      <c r="F7" s="10"/>
      <c r="G7" s="2"/>
      <c r="H7" s="2"/>
      <c r="I7" s="33">
        <v>2164.0</v>
      </c>
      <c r="J7" s="9">
        <v>0.002161934595000001</v>
      </c>
      <c r="K7" s="9">
        <v>0.0018932383123287657</v>
      </c>
      <c r="L7" s="9">
        <v>0.0040306069286487655</v>
      </c>
      <c r="M7" s="9">
        <v>0.024318066163208765</v>
      </c>
      <c r="N7" s="2"/>
      <c r="O7" s="2"/>
      <c r="P7" s="11">
        <v>0.031</v>
      </c>
      <c r="Q7" s="34">
        <f t="shared" si="1"/>
        <v>0.0003</v>
      </c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65</v>
      </c>
      <c r="B8" s="2">
        <v>8811.0</v>
      </c>
      <c r="C8" s="13">
        <v>0.03</v>
      </c>
      <c r="D8" s="13">
        <v>0.1</v>
      </c>
      <c r="E8" s="10"/>
      <c r="F8" s="10"/>
      <c r="G8" s="2"/>
      <c r="H8" s="2"/>
      <c r="I8" s="33">
        <v>2165.0</v>
      </c>
      <c r="J8" s="9">
        <v>0.007067332722857146</v>
      </c>
      <c r="K8" s="9">
        <v>0.004808207081967217</v>
      </c>
      <c r="L8" s="9">
        <v>0.007199664652527217</v>
      </c>
      <c r="M8" s="9">
        <v>0.020919444851967218</v>
      </c>
      <c r="N8" s="2"/>
      <c r="O8" s="2"/>
      <c r="P8" s="11">
        <v>0.0313</v>
      </c>
      <c r="Q8" s="34">
        <f t="shared" si="1"/>
        <v>0.0003</v>
      </c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10"/>
      <c r="F9" s="10"/>
      <c r="G9" s="2"/>
      <c r="H9" s="2"/>
      <c r="I9" s="33">
        <v>2166.0</v>
      </c>
      <c r="J9" s="9">
        <v>0.015508568856857145</v>
      </c>
      <c r="K9" s="9">
        <v>0.012019182369146045</v>
      </c>
      <c r="L9" s="9">
        <v>0.014152419484316047</v>
      </c>
      <c r="M9" s="9">
        <v>0.027045913723146044</v>
      </c>
      <c r="N9" s="2"/>
      <c r="O9" s="2"/>
      <c r="P9" s="11">
        <v>0.031</v>
      </c>
      <c r="Q9" s="34">
        <f t="shared" si="1"/>
        <v>-0.0003</v>
      </c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>
        <v>2175.0</v>
      </c>
      <c r="B10" s="10"/>
      <c r="C10" s="10" t="s">
        <v>12</v>
      </c>
      <c r="D10" s="2"/>
      <c r="E10" s="10"/>
      <c r="F10" s="10"/>
      <c r="G10" s="2"/>
      <c r="H10" s="2"/>
      <c r="I10" s="33">
        <v>2167.0</v>
      </c>
      <c r="J10" s="9">
        <v>0.021555430738285718</v>
      </c>
      <c r="K10" s="9">
        <v>0.020303170424242446</v>
      </c>
      <c r="L10" s="9">
        <v>0.021799728471742445</v>
      </c>
      <c r="M10" s="9">
        <v>0.032582581474742446</v>
      </c>
      <c r="N10" s="2"/>
      <c r="O10" s="2"/>
      <c r="P10" s="11">
        <v>0.0311</v>
      </c>
      <c r="Q10" s="34">
        <f t="shared" si="1"/>
        <v>0.0001</v>
      </c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5" t="s">
        <v>13</v>
      </c>
      <c r="B11" s="36">
        <f>F11/B1</f>
        <v>112.7274286</v>
      </c>
      <c r="C11" s="10"/>
      <c r="D11" s="2"/>
      <c r="E11" s="37" t="s">
        <v>15</v>
      </c>
      <c r="F11" s="36">
        <v>3945460.0</v>
      </c>
      <c r="G11" s="2"/>
      <c r="H11" s="2"/>
      <c r="I11" s="33">
        <v>2168.0</v>
      </c>
      <c r="J11" s="9">
        <v>0.018084746500000002</v>
      </c>
      <c r="K11" s="9">
        <v>0.024190284111553745</v>
      </c>
      <c r="L11" s="9">
        <v>0.023010827374513744</v>
      </c>
      <c r="M11" s="9">
        <v>0.023993532789553747</v>
      </c>
      <c r="N11" s="2"/>
      <c r="O11" s="2"/>
      <c r="P11" s="11">
        <v>0.0312</v>
      </c>
      <c r="Q11" s="34">
        <f t="shared" si="1"/>
        <v>0.0001</v>
      </c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7" t="s">
        <v>62</v>
      </c>
      <c r="B12" s="36">
        <f>B11/(0.89)</f>
        <v>126.6600321</v>
      </c>
      <c r="C12" s="10">
        <f t="shared" ref="C12:C15" si="2">B12*B5</f>
        <v>760340.1727</v>
      </c>
      <c r="D12" s="2"/>
      <c r="E12" s="37" t="s">
        <v>16</v>
      </c>
      <c r="F12" s="36">
        <f>SUM(C12:C15)</f>
        <v>4852301.868</v>
      </c>
      <c r="G12" s="2" t="s">
        <v>66</v>
      </c>
      <c r="H12" s="13"/>
      <c r="I12" s="33">
        <v>2169.0</v>
      </c>
      <c r="J12" s="9">
        <v>0.007337781802142859</v>
      </c>
      <c r="K12" s="9">
        <v>0.0043032553359683865</v>
      </c>
      <c r="L12" s="9">
        <v>0.0043032553359683865</v>
      </c>
      <c r="M12" s="9">
        <v>0.009503255335968387</v>
      </c>
      <c r="N12" s="2"/>
      <c r="O12" s="2"/>
      <c r="P12" s="11">
        <v>0.0311</v>
      </c>
      <c r="Q12" s="34">
        <f t="shared" si="1"/>
        <v>-0.0001</v>
      </c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7" t="s">
        <v>63</v>
      </c>
      <c r="B13" s="36">
        <f>B11/(0.84)</f>
        <v>134.1993197</v>
      </c>
      <c r="C13" s="10">
        <f t="shared" si="2"/>
        <v>161710.1803</v>
      </c>
      <c r="D13" s="2"/>
      <c r="E13" s="37" t="s">
        <v>17</v>
      </c>
      <c r="F13" s="36">
        <f>(F12+G13)-F11</f>
        <v>1154340.165</v>
      </c>
      <c r="G13" s="10">
        <f>F12*M17</f>
        <v>247498.2968</v>
      </c>
      <c r="H13" s="13"/>
      <c r="I13" s="33">
        <v>2170.0</v>
      </c>
      <c r="J13" s="9">
        <v>0.029389208455999998</v>
      </c>
      <c r="K13" s="9">
        <v>0.0012531088888888848</v>
      </c>
      <c r="L13" s="9">
        <v>0.0014531088888888849</v>
      </c>
      <c r="M13" s="9">
        <v>0.014953108888888884</v>
      </c>
      <c r="N13" s="2"/>
      <c r="O13" s="2"/>
      <c r="P13" s="11">
        <v>0.0311</v>
      </c>
      <c r="Q13" s="34">
        <f t="shared" si="1"/>
        <v>0</v>
      </c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7" t="s">
        <v>64</v>
      </c>
      <c r="B14" s="36">
        <f>B11/0.8</f>
        <v>140.9092857</v>
      </c>
      <c r="C14" s="10">
        <f t="shared" si="2"/>
        <v>2788594.764</v>
      </c>
      <c r="D14" s="2"/>
      <c r="E14" s="37" t="s">
        <v>18</v>
      </c>
      <c r="F14" s="35">
        <f>F13/F12</f>
        <v>0.2378953734</v>
      </c>
      <c r="G14" s="2"/>
      <c r="H14" s="2"/>
      <c r="I14" s="33">
        <v>2171.0</v>
      </c>
      <c r="J14" s="9">
        <v>0.0708486612</v>
      </c>
      <c r="K14" s="9">
        <v>0.018250985151999993</v>
      </c>
      <c r="L14" s="9">
        <v>0.029350985151999992</v>
      </c>
      <c r="M14" s="9">
        <v>0.030850985151999993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7" t="s">
        <v>65</v>
      </c>
      <c r="B15" s="36">
        <f>B11/0.87</f>
        <v>129.571757</v>
      </c>
      <c r="C15" s="10">
        <f t="shared" si="2"/>
        <v>1141656.751</v>
      </c>
      <c r="D15" s="2"/>
      <c r="E15" s="10" t="s">
        <v>67</v>
      </c>
      <c r="F15" s="10">
        <v>0.95</v>
      </c>
      <c r="G15" s="2"/>
      <c r="H15" s="2"/>
      <c r="I15" s="33">
        <v>2172.0</v>
      </c>
      <c r="J15" s="9">
        <v>0.05978654443364042</v>
      </c>
      <c r="K15" s="9">
        <v>0.05404764832000001</v>
      </c>
      <c r="L15" s="9">
        <v>0.05454764832000001</v>
      </c>
      <c r="M15" s="9">
        <v>0.04334764832000001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10"/>
      <c r="F16" s="10"/>
      <c r="G16" s="2"/>
      <c r="H16" s="2"/>
      <c r="I16" s="33">
        <v>2173.0</v>
      </c>
      <c r="J16" s="9">
        <v>0.02763443643079875</v>
      </c>
      <c r="K16" s="9">
        <v>0.05736271094820714</v>
      </c>
      <c r="L16" s="9">
        <v>0.05276271094820714</v>
      </c>
      <c r="M16" s="9">
        <v>0.047962710948207136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19</v>
      </c>
      <c r="B17" s="14" t="s">
        <v>20</v>
      </c>
      <c r="C17" s="2" t="s">
        <v>21</v>
      </c>
      <c r="D17" s="2"/>
      <c r="E17" s="10"/>
      <c r="F17" s="10"/>
      <c r="G17" s="2"/>
      <c r="H17" s="2"/>
      <c r="I17" s="33">
        <v>2174.0</v>
      </c>
      <c r="J17" s="9">
        <v>0.023905736589285704</v>
      </c>
      <c r="K17" s="9">
        <v>0.050506368421052765</v>
      </c>
      <c r="L17" s="9">
        <v>0.047406368421052766</v>
      </c>
      <c r="M17" s="9">
        <v>0.051006368421052765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22</v>
      </c>
      <c r="B18" s="13">
        <v>0.25</v>
      </c>
      <c r="C18" s="14">
        <f t="shared" ref="C18:C20" si="3">B18/10</f>
        <v>0.025</v>
      </c>
      <c r="D18" s="2"/>
      <c r="E18" s="10"/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23</v>
      </c>
      <c r="B19" s="13">
        <v>0.25</v>
      </c>
      <c r="C19" s="14">
        <f t="shared" si="3"/>
        <v>0.025</v>
      </c>
      <c r="D19" s="2"/>
      <c r="E19" s="10"/>
      <c r="F19" s="1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24</v>
      </c>
      <c r="B20" s="13">
        <v>0.15</v>
      </c>
      <c r="C20" s="14">
        <f t="shared" si="3"/>
        <v>0.015</v>
      </c>
      <c r="D20" s="2"/>
      <c r="E20" s="10"/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68</v>
      </c>
      <c r="B21" s="13"/>
      <c r="C21" s="14">
        <f>AVERAGE(C18:C20)</f>
        <v>0.02166666667</v>
      </c>
      <c r="D21" s="2"/>
      <c r="E21" s="10"/>
      <c r="F21" s="1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10"/>
      <c r="F22" s="1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10"/>
      <c r="F23" s="1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7" t="s">
        <v>69</v>
      </c>
      <c r="B24" s="37"/>
      <c r="C24" s="37"/>
      <c r="D24" s="37" t="s">
        <v>70</v>
      </c>
      <c r="E24" s="36"/>
      <c r="F24" s="1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7" t="s">
        <v>71</v>
      </c>
      <c r="B25" s="37"/>
      <c r="C25" s="37"/>
      <c r="D25" s="37" t="s">
        <v>72</v>
      </c>
      <c r="E25" s="36"/>
      <c r="F25" s="1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7" t="s">
        <v>73</v>
      </c>
      <c r="B26" s="37"/>
      <c r="C26" s="37"/>
      <c r="D26" s="37" t="s">
        <v>72</v>
      </c>
      <c r="E26" s="36"/>
      <c r="F26" s="1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7" t="s">
        <v>74</v>
      </c>
      <c r="B27" s="37"/>
      <c r="C27" s="37"/>
      <c r="D27" s="38" t="s">
        <v>75</v>
      </c>
      <c r="E27" s="36"/>
      <c r="F27" s="1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10"/>
      <c r="F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10"/>
      <c r="F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25</v>
      </c>
      <c r="B30" s="33">
        <v>2176.0</v>
      </c>
      <c r="C30" s="33">
        <v>2177.0</v>
      </c>
      <c r="D30" s="33">
        <f t="shared" ref="D30:L30" si="4">C30+1</f>
        <v>2178</v>
      </c>
      <c r="E30" s="33">
        <f t="shared" si="4"/>
        <v>2179</v>
      </c>
      <c r="F30" s="33">
        <f t="shared" si="4"/>
        <v>2180</v>
      </c>
      <c r="G30" s="33">
        <f t="shared" si="4"/>
        <v>2181</v>
      </c>
      <c r="H30" s="33">
        <f t="shared" si="4"/>
        <v>2182</v>
      </c>
      <c r="I30" s="33">
        <f t="shared" si="4"/>
        <v>2183</v>
      </c>
      <c r="J30" s="33">
        <f t="shared" si="4"/>
        <v>2184</v>
      </c>
      <c r="K30" s="33">
        <f t="shared" si="4"/>
        <v>2185</v>
      </c>
      <c r="L30" s="33">
        <f t="shared" si="4"/>
        <v>2186</v>
      </c>
      <c r="M30" s="33"/>
      <c r="N30" s="33"/>
      <c r="O30" s="33"/>
      <c r="P30" s="33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26</v>
      </c>
      <c r="B31" s="11">
        <v>0.0371</v>
      </c>
      <c r="C31" s="11">
        <v>0.0295</v>
      </c>
      <c r="D31" s="11">
        <v>0.0302</v>
      </c>
      <c r="E31" s="11">
        <v>0.0323</v>
      </c>
      <c r="F31" s="11">
        <v>0.0307</v>
      </c>
      <c r="G31" s="11">
        <v>0.031</v>
      </c>
      <c r="H31" s="11">
        <v>0.0313</v>
      </c>
      <c r="I31" s="11">
        <v>0.031</v>
      </c>
      <c r="J31" s="11">
        <v>0.0311</v>
      </c>
      <c r="K31" s="11">
        <v>0.0312</v>
      </c>
      <c r="L31" s="11">
        <v>0.0311</v>
      </c>
      <c r="M31" s="11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27</v>
      </c>
      <c r="B32" s="11">
        <v>0.0376</v>
      </c>
      <c r="C32" s="11">
        <v>0.0422</v>
      </c>
      <c r="D32" s="11">
        <v>0.0444</v>
      </c>
      <c r="E32" s="11">
        <v>0.0446</v>
      </c>
      <c r="F32" s="11">
        <v>0.044</v>
      </c>
      <c r="G32" s="11">
        <v>0.0426</v>
      </c>
      <c r="H32" s="11">
        <v>0.0436</v>
      </c>
      <c r="I32" s="11">
        <v>0.0438</v>
      </c>
      <c r="J32" s="11">
        <v>0.0437</v>
      </c>
      <c r="K32" s="11">
        <v>0.0435</v>
      </c>
      <c r="L32" s="11">
        <v>0.0434</v>
      </c>
      <c r="M32" s="11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9" t="s">
        <v>96</v>
      </c>
      <c r="B33" s="40">
        <f>F11*(1+B31)*(1+2.2%)</f>
        <v>4181856.97</v>
      </c>
      <c r="C33" s="40">
        <f t="shared" ref="C33:L33" si="5">B33*(1+C31)*(1+2.2%)</f>
        <v>4399936.63</v>
      </c>
      <c r="D33" s="40">
        <f t="shared" si="5"/>
        <v>4632536.64</v>
      </c>
      <c r="E33" s="40">
        <f t="shared" si="5"/>
        <v>4887375.26</v>
      </c>
      <c r="F33" s="40">
        <f t="shared" si="5"/>
        <v>5148240.869</v>
      </c>
      <c r="G33" s="40">
        <f t="shared" si="5"/>
        <v>5424608.735</v>
      </c>
      <c r="H33" s="40">
        <f t="shared" si="5"/>
        <v>5717475.767</v>
      </c>
      <c r="I33" s="40">
        <f t="shared" si="5"/>
        <v>6024401.301</v>
      </c>
      <c r="J33" s="40">
        <f t="shared" si="5"/>
        <v>6348418.905</v>
      </c>
      <c r="K33" s="40">
        <f t="shared" si="5"/>
        <v>6690512.346</v>
      </c>
      <c r="L33" s="40">
        <f t="shared" si="5"/>
        <v>7050356.2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5.75" customHeight="1">
      <c r="A34" s="2" t="s">
        <v>76</v>
      </c>
      <c r="B34" s="2">
        <f t="shared" ref="B34:B37" si="7">B5</f>
        <v>6003</v>
      </c>
      <c r="C34" s="42">
        <f t="shared" ref="C34:L34" si="6">B34*(1+1%)</f>
        <v>6063.03</v>
      </c>
      <c r="D34" s="42">
        <f t="shared" si="6"/>
        <v>6123.6603</v>
      </c>
      <c r="E34" s="42">
        <f t="shared" si="6"/>
        <v>6184.896903</v>
      </c>
      <c r="F34" s="42">
        <f t="shared" si="6"/>
        <v>6246.745872</v>
      </c>
      <c r="G34" s="42">
        <f t="shared" si="6"/>
        <v>6309.213331</v>
      </c>
      <c r="H34" s="42">
        <f t="shared" si="6"/>
        <v>6372.305464</v>
      </c>
      <c r="I34" s="42">
        <f t="shared" si="6"/>
        <v>6436.028519</v>
      </c>
      <c r="J34" s="42">
        <f t="shared" si="6"/>
        <v>6500.388804</v>
      </c>
      <c r="K34" s="42">
        <f t="shared" si="6"/>
        <v>6565.392692</v>
      </c>
      <c r="L34" s="42">
        <f t="shared" si="6"/>
        <v>6631.046619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77</v>
      </c>
      <c r="B35" s="2">
        <f t="shared" si="7"/>
        <v>1205</v>
      </c>
      <c r="C35" s="42">
        <f t="shared" ref="C35:L35" si="8">B35*(1+1%)</f>
        <v>1217.05</v>
      </c>
      <c r="D35" s="42">
        <f t="shared" si="8"/>
        <v>1229.2205</v>
      </c>
      <c r="E35" s="42">
        <f t="shared" si="8"/>
        <v>1241.512705</v>
      </c>
      <c r="F35" s="42">
        <f t="shared" si="8"/>
        <v>1253.927832</v>
      </c>
      <c r="G35" s="42">
        <f t="shared" si="8"/>
        <v>1266.46711</v>
      </c>
      <c r="H35" s="42">
        <f t="shared" si="8"/>
        <v>1279.131781</v>
      </c>
      <c r="I35" s="42">
        <f t="shared" si="8"/>
        <v>1291.923099</v>
      </c>
      <c r="J35" s="42">
        <f t="shared" si="8"/>
        <v>1304.84233</v>
      </c>
      <c r="K35" s="42">
        <f t="shared" si="8"/>
        <v>1317.890754</v>
      </c>
      <c r="L35" s="42">
        <f t="shared" si="8"/>
        <v>1331.069661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78</v>
      </c>
      <c r="B36" s="2">
        <f t="shared" si="7"/>
        <v>19790</v>
      </c>
      <c r="C36" s="42">
        <f t="shared" ref="C36:L36" si="9">B36*(1+1%)</f>
        <v>19987.9</v>
      </c>
      <c r="D36" s="42">
        <f t="shared" si="9"/>
        <v>20187.779</v>
      </c>
      <c r="E36" s="42">
        <f t="shared" si="9"/>
        <v>20389.65679</v>
      </c>
      <c r="F36" s="42">
        <f t="shared" si="9"/>
        <v>20593.55336</v>
      </c>
      <c r="G36" s="42">
        <f t="shared" si="9"/>
        <v>20799.48889</v>
      </c>
      <c r="H36" s="42">
        <f t="shared" si="9"/>
        <v>21007.48378</v>
      </c>
      <c r="I36" s="42">
        <f t="shared" si="9"/>
        <v>21217.55862</v>
      </c>
      <c r="J36" s="42">
        <f t="shared" si="9"/>
        <v>21429.7342</v>
      </c>
      <c r="K36" s="42">
        <f t="shared" si="9"/>
        <v>21644.03155</v>
      </c>
      <c r="L36" s="42">
        <f t="shared" si="9"/>
        <v>21860.47186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79</v>
      </c>
      <c r="B37" s="2">
        <f t="shared" si="7"/>
        <v>8811</v>
      </c>
      <c r="C37" s="42">
        <f t="shared" ref="C37:L37" si="10">B37*(1+1%)</f>
        <v>8899.11</v>
      </c>
      <c r="D37" s="42">
        <f t="shared" si="10"/>
        <v>8988.1011</v>
      </c>
      <c r="E37" s="42">
        <f t="shared" si="10"/>
        <v>9077.982111</v>
      </c>
      <c r="F37" s="42">
        <f t="shared" si="10"/>
        <v>9168.761932</v>
      </c>
      <c r="G37" s="42">
        <f t="shared" si="10"/>
        <v>9260.449551</v>
      </c>
      <c r="H37" s="42">
        <f t="shared" si="10"/>
        <v>9353.054047</v>
      </c>
      <c r="I37" s="42">
        <f t="shared" si="10"/>
        <v>9446.584587</v>
      </c>
      <c r="J37" s="42">
        <f t="shared" si="10"/>
        <v>9541.050433</v>
      </c>
      <c r="K37" s="42">
        <f t="shared" si="10"/>
        <v>9636.460938</v>
      </c>
      <c r="L37" s="42">
        <f t="shared" si="10"/>
        <v>9732.825547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80</v>
      </c>
      <c r="B38" s="2">
        <f>SUM(B34:B37)</f>
        <v>35809</v>
      </c>
      <c r="C38" s="42">
        <f t="shared" ref="C38:L38" si="11">B38*(1+1%)</f>
        <v>36167.09</v>
      </c>
      <c r="D38" s="42">
        <f t="shared" si="11"/>
        <v>36528.7609</v>
      </c>
      <c r="E38" s="42">
        <f t="shared" si="11"/>
        <v>36894.04851</v>
      </c>
      <c r="F38" s="42">
        <f t="shared" si="11"/>
        <v>37262.98899</v>
      </c>
      <c r="G38" s="42">
        <f t="shared" si="11"/>
        <v>37635.61888</v>
      </c>
      <c r="H38" s="42">
        <f t="shared" si="11"/>
        <v>38011.97507</v>
      </c>
      <c r="I38" s="42">
        <f t="shared" si="11"/>
        <v>38392.09482</v>
      </c>
      <c r="J38" s="42">
        <f t="shared" si="11"/>
        <v>38776.01577</v>
      </c>
      <c r="K38" s="42">
        <f t="shared" si="11"/>
        <v>39163.77593</v>
      </c>
      <c r="L38" s="42">
        <f t="shared" si="11"/>
        <v>39555.41369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3" t="s">
        <v>33</v>
      </c>
      <c r="B39" s="43">
        <f t="shared" ref="B39:L39" si="12">(B33/B38)*(1+B31)</f>
        <v>121.1149114</v>
      </c>
      <c r="C39" s="43">
        <f t="shared" si="12"/>
        <v>125.2446564</v>
      </c>
      <c r="D39" s="43">
        <f t="shared" si="12"/>
        <v>130.6488128</v>
      </c>
      <c r="E39" s="43">
        <f t="shared" si="12"/>
        <v>136.7493589</v>
      </c>
      <c r="F39" s="43">
        <f t="shared" si="12"/>
        <v>142.4011333</v>
      </c>
      <c r="G39" s="43">
        <f t="shared" si="12"/>
        <v>148.6031523</v>
      </c>
      <c r="H39" s="43">
        <f t="shared" si="12"/>
        <v>155.1203995</v>
      </c>
      <c r="I39" s="43">
        <f t="shared" si="12"/>
        <v>161.7822046</v>
      </c>
      <c r="J39" s="43">
        <f t="shared" si="12"/>
        <v>168.8119474</v>
      </c>
      <c r="K39" s="43">
        <f t="shared" si="12"/>
        <v>176.1642275</v>
      </c>
      <c r="L39" s="43">
        <f t="shared" si="12"/>
        <v>183.7832448</v>
      </c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2" t="s">
        <v>34</v>
      </c>
      <c r="B40" s="17">
        <f t="shared" ref="B40:L40" si="13">(1-$D$5-$C$5)</f>
        <v>0.89</v>
      </c>
      <c r="C40" s="17">
        <f t="shared" si="13"/>
        <v>0.89</v>
      </c>
      <c r="D40" s="17">
        <f t="shared" si="13"/>
        <v>0.89</v>
      </c>
      <c r="E40" s="17">
        <f t="shared" si="13"/>
        <v>0.89</v>
      </c>
      <c r="F40" s="17">
        <f t="shared" si="13"/>
        <v>0.89</v>
      </c>
      <c r="G40" s="17">
        <f t="shared" si="13"/>
        <v>0.89</v>
      </c>
      <c r="H40" s="17">
        <f t="shared" si="13"/>
        <v>0.89</v>
      </c>
      <c r="I40" s="17">
        <f t="shared" si="13"/>
        <v>0.89</v>
      </c>
      <c r="J40" s="17">
        <f t="shared" si="13"/>
        <v>0.89</v>
      </c>
      <c r="K40" s="17">
        <f t="shared" si="13"/>
        <v>0.89</v>
      </c>
      <c r="L40" s="17">
        <f t="shared" si="13"/>
        <v>0.89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81</v>
      </c>
      <c r="B41" s="44">
        <f t="shared" ref="B41:L41" si="14">1-$C$6-$D$6</f>
        <v>0.84</v>
      </c>
      <c r="C41" s="44">
        <f t="shared" si="14"/>
        <v>0.84</v>
      </c>
      <c r="D41" s="44">
        <f t="shared" si="14"/>
        <v>0.84</v>
      </c>
      <c r="E41" s="44">
        <f t="shared" si="14"/>
        <v>0.84</v>
      </c>
      <c r="F41" s="44">
        <f t="shared" si="14"/>
        <v>0.84</v>
      </c>
      <c r="G41" s="44">
        <f t="shared" si="14"/>
        <v>0.84</v>
      </c>
      <c r="H41" s="44">
        <f t="shared" si="14"/>
        <v>0.84</v>
      </c>
      <c r="I41" s="44">
        <f t="shared" si="14"/>
        <v>0.84</v>
      </c>
      <c r="J41" s="44">
        <f t="shared" si="14"/>
        <v>0.84</v>
      </c>
      <c r="K41" s="44">
        <f t="shared" si="14"/>
        <v>0.84</v>
      </c>
      <c r="L41" s="44">
        <f t="shared" si="14"/>
        <v>0.84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82</v>
      </c>
      <c r="B42" s="44">
        <f t="shared" ref="B42:L42" si="15">1-$C$7-$D$7</f>
        <v>0.8</v>
      </c>
      <c r="C42" s="44">
        <f t="shared" si="15"/>
        <v>0.8</v>
      </c>
      <c r="D42" s="44">
        <f t="shared" si="15"/>
        <v>0.8</v>
      </c>
      <c r="E42" s="44">
        <f t="shared" si="15"/>
        <v>0.8</v>
      </c>
      <c r="F42" s="44">
        <f t="shared" si="15"/>
        <v>0.8</v>
      </c>
      <c r="G42" s="44">
        <f t="shared" si="15"/>
        <v>0.8</v>
      </c>
      <c r="H42" s="44">
        <f t="shared" si="15"/>
        <v>0.8</v>
      </c>
      <c r="I42" s="44">
        <f t="shared" si="15"/>
        <v>0.8</v>
      </c>
      <c r="J42" s="44">
        <f t="shared" si="15"/>
        <v>0.8</v>
      </c>
      <c r="K42" s="44">
        <f t="shared" si="15"/>
        <v>0.8</v>
      </c>
      <c r="L42" s="44">
        <f t="shared" si="15"/>
        <v>0.8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83</v>
      </c>
      <c r="B43" s="44">
        <f t="shared" ref="B43:L43" si="16">1-$C$8-$D$8</f>
        <v>0.87</v>
      </c>
      <c r="C43" s="44">
        <f t="shared" si="16"/>
        <v>0.87</v>
      </c>
      <c r="D43" s="44">
        <f t="shared" si="16"/>
        <v>0.87</v>
      </c>
      <c r="E43" s="44">
        <f t="shared" si="16"/>
        <v>0.87</v>
      </c>
      <c r="F43" s="44">
        <f t="shared" si="16"/>
        <v>0.87</v>
      </c>
      <c r="G43" s="44">
        <f t="shared" si="16"/>
        <v>0.87</v>
      </c>
      <c r="H43" s="44">
        <f t="shared" si="16"/>
        <v>0.87</v>
      </c>
      <c r="I43" s="44">
        <f t="shared" si="16"/>
        <v>0.87</v>
      </c>
      <c r="J43" s="44">
        <f t="shared" si="16"/>
        <v>0.87</v>
      </c>
      <c r="K43" s="44">
        <f t="shared" si="16"/>
        <v>0.87</v>
      </c>
      <c r="L43" s="44">
        <f t="shared" si="16"/>
        <v>0.87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84</v>
      </c>
      <c r="B44" s="2">
        <f t="shared" ref="B44:L44" si="17">B39/B40</f>
        <v>136.0841702</v>
      </c>
      <c r="C44" s="2">
        <f t="shared" si="17"/>
        <v>140.724333</v>
      </c>
      <c r="D44" s="2">
        <f t="shared" si="17"/>
        <v>146.7964189</v>
      </c>
      <c r="E44" s="2">
        <f t="shared" si="17"/>
        <v>153.650965</v>
      </c>
      <c r="F44" s="2">
        <f t="shared" si="17"/>
        <v>160.0012734</v>
      </c>
      <c r="G44" s="2">
        <f t="shared" si="17"/>
        <v>166.9698341</v>
      </c>
      <c r="H44" s="2">
        <f t="shared" si="17"/>
        <v>174.2925837</v>
      </c>
      <c r="I44" s="2">
        <f t="shared" si="17"/>
        <v>181.777758</v>
      </c>
      <c r="J44" s="2">
        <f t="shared" si="17"/>
        <v>189.6763453</v>
      </c>
      <c r="K44" s="2">
        <f t="shared" si="17"/>
        <v>197.9373342</v>
      </c>
      <c r="L44" s="2">
        <f t="shared" si="17"/>
        <v>206.4980279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85</v>
      </c>
      <c r="B45" s="2">
        <f t="shared" ref="B45:L45" si="18">B39/B41</f>
        <v>144.1844184</v>
      </c>
      <c r="C45" s="2">
        <f t="shared" si="18"/>
        <v>149.1007814</v>
      </c>
      <c r="D45" s="2">
        <f t="shared" si="18"/>
        <v>155.534301</v>
      </c>
      <c r="E45" s="2">
        <f t="shared" si="18"/>
        <v>162.7968558</v>
      </c>
      <c r="F45" s="2">
        <f t="shared" si="18"/>
        <v>169.5251587</v>
      </c>
      <c r="G45" s="2">
        <f t="shared" si="18"/>
        <v>176.9085147</v>
      </c>
      <c r="H45" s="2">
        <f t="shared" si="18"/>
        <v>184.6671422</v>
      </c>
      <c r="I45" s="2">
        <f t="shared" si="18"/>
        <v>192.5978627</v>
      </c>
      <c r="J45" s="2">
        <f t="shared" si="18"/>
        <v>200.966604</v>
      </c>
      <c r="K45" s="2">
        <f t="shared" si="18"/>
        <v>209.7193184</v>
      </c>
      <c r="L45" s="2">
        <f t="shared" si="18"/>
        <v>218.7895772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86</v>
      </c>
      <c r="B46" s="2">
        <f t="shared" ref="B46:L46" si="19">B39/B42</f>
        <v>151.3936393</v>
      </c>
      <c r="C46" s="2">
        <f t="shared" si="19"/>
        <v>156.5558205</v>
      </c>
      <c r="D46" s="2">
        <f t="shared" si="19"/>
        <v>163.311016</v>
      </c>
      <c r="E46" s="2">
        <f t="shared" si="19"/>
        <v>170.9366986</v>
      </c>
      <c r="F46" s="2">
        <f t="shared" si="19"/>
        <v>178.0014167</v>
      </c>
      <c r="G46" s="2">
        <f t="shared" si="19"/>
        <v>185.7539404</v>
      </c>
      <c r="H46" s="2">
        <f t="shared" si="19"/>
        <v>193.9004993</v>
      </c>
      <c r="I46" s="2">
        <f t="shared" si="19"/>
        <v>202.2277558</v>
      </c>
      <c r="J46" s="2">
        <f t="shared" si="19"/>
        <v>211.0149342</v>
      </c>
      <c r="K46" s="2">
        <f t="shared" si="19"/>
        <v>220.2052843</v>
      </c>
      <c r="L46" s="2">
        <f t="shared" si="19"/>
        <v>229.729056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87</v>
      </c>
      <c r="B47" s="2">
        <f t="shared" ref="B47:L47" si="20">B39/B43</f>
        <v>139.2125419</v>
      </c>
      <c r="C47" s="2">
        <f t="shared" si="20"/>
        <v>143.9593752</v>
      </c>
      <c r="D47" s="2">
        <f t="shared" si="20"/>
        <v>150.1710492</v>
      </c>
      <c r="E47" s="2">
        <f t="shared" si="20"/>
        <v>157.1831711</v>
      </c>
      <c r="F47" s="2">
        <f t="shared" si="20"/>
        <v>163.6794636</v>
      </c>
      <c r="G47" s="2">
        <f t="shared" si="20"/>
        <v>170.8082211</v>
      </c>
      <c r="H47" s="2">
        <f t="shared" si="20"/>
        <v>178.2993097</v>
      </c>
      <c r="I47" s="2">
        <f t="shared" si="20"/>
        <v>185.956557</v>
      </c>
      <c r="J47" s="2">
        <f t="shared" si="20"/>
        <v>194.0367211</v>
      </c>
      <c r="K47" s="2">
        <f t="shared" si="20"/>
        <v>202.4876178</v>
      </c>
      <c r="L47" s="2">
        <f t="shared" si="20"/>
        <v>211.245109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88</v>
      </c>
      <c r="B48" s="2">
        <f t="shared" ref="B48:L48" si="21">B44*B34</f>
        <v>816913.2735</v>
      </c>
      <c r="C48" s="2">
        <f t="shared" si="21"/>
        <v>853215.8529</v>
      </c>
      <c r="D48" s="2">
        <f t="shared" si="21"/>
        <v>898931.4027</v>
      </c>
      <c r="E48" s="2">
        <f t="shared" si="21"/>
        <v>950315.3779</v>
      </c>
      <c r="F48" s="2">
        <f t="shared" si="21"/>
        <v>999487.2941</v>
      </c>
      <c r="G48" s="2">
        <f t="shared" si="21"/>
        <v>1053448.303</v>
      </c>
      <c r="H48" s="2">
        <f t="shared" si="21"/>
        <v>1110645.583</v>
      </c>
      <c r="I48" s="2">
        <f t="shared" si="21"/>
        <v>1169926.835</v>
      </c>
      <c r="J48" s="2">
        <f t="shared" si="21"/>
        <v>1232969.992</v>
      </c>
      <c r="K48" s="2">
        <f t="shared" si="21"/>
        <v>1299536.328</v>
      </c>
      <c r="L48" s="2">
        <f t="shared" si="21"/>
        <v>1369298.05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89</v>
      </c>
      <c r="B49" s="2">
        <f t="shared" ref="B49:L49" si="22">B45*B35</f>
        <v>173742.2242</v>
      </c>
      <c r="C49" s="2">
        <f t="shared" si="22"/>
        <v>181463.106</v>
      </c>
      <c r="D49" s="2">
        <f t="shared" si="22"/>
        <v>191185.9512</v>
      </c>
      <c r="E49" s="2">
        <f t="shared" si="22"/>
        <v>202114.3648</v>
      </c>
      <c r="F49" s="2">
        <f t="shared" si="22"/>
        <v>212572.3147</v>
      </c>
      <c r="G49" s="2">
        <f t="shared" si="22"/>
        <v>224048.8154</v>
      </c>
      <c r="H49" s="2">
        <f t="shared" si="22"/>
        <v>236213.6106</v>
      </c>
      <c r="I49" s="2">
        <f t="shared" si="22"/>
        <v>248821.6276</v>
      </c>
      <c r="J49" s="2">
        <f t="shared" si="22"/>
        <v>262229.7319</v>
      </c>
      <c r="K49" s="2">
        <f t="shared" si="22"/>
        <v>276387.1506</v>
      </c>
      <c r="L49" s="2">
        <f t="shared" si="22"/>
        <v>291224.1683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90</v>
      </c>
      <c r="B50" s="2">
        <f t="shared" ref="B50:L50" si="23">B46*B36</f>
        <v>2996080.122</v>
      </c>
      <c r="C50" s="2">
        <f t="shared" si="23"/>
        <v>3129222.085</v>
      </c>
      <c r="D50" s="2">
        <f t="shared" si="23"/>
        <v>3296886.7</v>
      </c>
      <c r="E50" s="2">
        <f t="shared" si="23"/>
        <v>3485340.618</v>
      </c>
      <c r="F50" s="2">
        <f t="shared" si="23"/>
        <v>3665681.672</v>
      </c>
      <c r="G50" s="2">
        <f t="shared" si="23"/>
        <v>3863587.02</v>
      </c>
      <c r="H50" s="2">
        <f t="shared" si="23"/>
        <v>4073361.595</v>
      </c>
      <c r="I50" s="2">
        <f t="shared" si="23"/>
        <v>4290779.263</v>
      </c>
      <c r="J50" s="2">
        <f t="shared" si="23"/>
        <v>4521993.953</v>
      </c>
      <c r="K50" s="2">
        <f t="shared" si="23"/>
        <v>4766130.12</v>
      </c>
      <c r="L50" s="2">
        <f t="shared" si="23"/>
        <v>5021985.565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91</v>
      </c>
      <c r="B51" s="2">
        <f t="shared" ref="B51:L51" si="24">B47*B37</f>
        <v>1226601.707</v>
      </c>
      <c r="C51" s="2">
        <f t="shared" si="24"/>
        <v>1281110.315</v>
      </c>
      <c r="D51" s="2">
        <f t="shared" si="24"/>
        <v>1349752.573</v>
      </c>
      <c r="E51" s="2">
        <f t="shared" si="24"/>
        <v>1426906.016</v>
      </c>
      <c r="F51" s="2">
        <f t="shared" si="24"/>
        <v>1500738.035</v>
      </c>
      <c r="G51" s="2">
        <f t="shared" si="24"/>
        <v>1581760.914</v>
      </c>
      <c r="H51" s="2">
        <f t="shared" si="24"/>
        <v>1667643.081</v>
      </c>
      <c r="I51" s="2">
        <f t="shared" si="24"/>
        <v>1756654.346</v>
      </c>
      <c r="J51" s="2">
        <f t="shared" si="24"/>
        <v>1851314.142</v>
      </c>
      <c r="K51" s="2">
        <f t="shared" si="24"/>
        <v>1951264.019</v>
      </c>
      <c r="L51" s="2">
        <f t="shared" si="24"/>
        <v>2056011.793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5" t="s">
        <v>92</v>
      </c>
      <c r="B52" s="45">
        <f t="shared" ref="B52:L52" si="25">SUM(B48:B51)</f>
        <v>5213337.326</v>
      </c>
      <c r="C52" s="45">
        <f t="shared" si="25"/>
        <v>5445011.359</v>
      </c>
      <c r="D52" s="45">
        <f t="shared" si="25"/>
        <v>5736756.627</v>
      </c>
      <c r="E52" s="45">
        <f t="shared" si="25"/>
        <v>6064676.376</v>
      </c>
      <c r="F52" s="45">
        <f t="shared" si="25"/>
        <v>6378479.315</v>
      </c>
      <c r="G52" s="45">
        <f t="shared" si="25"/>
        <v>6722845.053</v>
      </c>
      <c r="H52" s="45">
        <f t="shared" si="25"/>
        <v>7087863.869</v>
      </c>
      <c r="I52" s="45">
        <f t="shared" si="25"/>
        <v>7466182.071</v>
      </c>
      <c r="J52" s="45">
        <f t="shared" si="25"/>
        <v>7868507.818</v>
      </c>
      <c r="K52" s="45">
        <f t="shared" si="25"/>
        <v>8293317.617</v>
      </c>
      <c r="L52" s="45">
        <f t="shared" si="25"/>
        <v>8738519.576</v>
      </c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2" t="s">
        <v>93</v>
      </c>
      <c r="B53" s="2">
        <f t="shared" ref="B53:L53" si="26">B52*B32</f>
        <v>196021.4835</v>
      </c>
      <c r="C53" s="2">
        <f t="shared" si="26"/>
        <v>229779.4793</v>
      </c>
      <c r="D53" s="2">
        <f t="shared" si="26"/>
        <v>254711.9942</v>
      </c>
      <c r="E53" s="2">
        <f t="shared" si="26"/>
        <v>270484.5664</v>
      </c>
      <c r="F53" s="2">
        <f t="shared" si="26"/>
        <v>280653.0899</v>
      </c>
      <c r="G53" s="2">
        <f t="shared" si="26"/>
        <v>286393.1993</v>
      </c>
      <c r="H53" s="2">
        <f t="shared" si="26"/>
        <v>309030.8647</v>
      </c>
      <c r="I53" s="2">
        <f t="shared" si="26"/>
        <v>327018.7747</v>
      </c>
      <c r="J53" s="2">
        <f t="shared" si="26"/>
        <v>343853.7917</v>
      </c>
      <c r="K53" s="2">
        <f t="shared" si="26"/>
        <v>360759.3164</v>
      </c>
      <c r="L53" s="2">
        <f t="shared" si="26"/>
        <v>379251.7496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94</v>
      </c>
      <c r="B54" s="2">
        <f t="shared" ref="B54:L54" si="27">B52+B53</f>
        <v>5409358.81</v>
      </c>
      <c r="C54" s="2">
        <f t="shared" si="27"/>
        <v>5674790.838</v>
      </c>
      <c r="D54" s="2">
        <f t="shared" si="27"/>
        <v>5991468.621</v>
      </c>
      <c r="E54" s="2">
        <f t="shared" si="27"/>
        <v>6335160.942</v>
      </c>
      <c r="F54" s="2">
        <f t="shared" si="27"/>
        <v>6659132.405</v>
      </c>
      <c r="G54" s="2">
        <f t="shared" si="27"/>
        <v>7009238.252</v>
      </c>
      <c r="H54" s="2">
        <f t="shared" si="27"/>
        <v>7396894.734</v>
      </c>
      <c r="I54" s="2">
        <f t="shared" si="27"/>
        <v>7793200.845</v>
      </c>
      <c r="J54" s="2">
        <f t="shared" si="27"/>
        <v>8212361.61</v>
      </c>
      <c r="K54" s="2">
        <f t="shared" si="27"/>
        <v>8654076.934</v>
      </c>
      <c r="L54" s="2">
        <f t="shared" si="27"/>
        <v>9117771.326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6" t="s">
        <v>95</v>
      </c>
      <c r="B55" s="47">
        <f t="shared" ref="B55:L55" si="28">B54-B33</f>
        <v>1227501.839</v>
      </c>
      <c r="C55" s="47">
        <f t="shared" si="28"/>
        <v>1274854.209</v>
      </c>
      <c r="D55" s="47">
        <f t="shared" si="28"/>
        <v>1358931.982</v>
      </c>
      <c r="E55" s="47">
        <f t="shared" si="28"/>
        <v>1447785.683</v>
      </c>
      <c r="F55" s="47">
        <f t="shared" si="28"/>
        <v>1510891.536</v>
      </c>
      <c r="G55" s="47">
        <f t="shared" si="28"/>
        <v>1584629.517</v>
      </c>
      <c r="H55" s="47">
        <f t="shared" si="28"/>
        <v>1679418.968</v>
      </c>
      <c r="I55" s="47">
        <f t="shared" si="28"/>
        <v>1768799.545</v>
      </c>
      <c r="J55" s="47">
        <f t="shared" si="28"/>
        <v>1863942.705</v>
      </c>
      <c r="K55" s="47">
        <f t="shared" si="28"/>
        <v>1963564.588</v>
      </c>
      <c r="L55" s="47">
        <f t="shared" si="28"/>
        <v>2067415.126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5.75" customHeight="1">
      <c r="A56" s="2" t="s">
        <v>18</v>
      </c>
      <c r="B56" s="11">
        <f t="shared" ref="B56:L56" si="29">B55/B54</f>
        <v>0.2269218742</v>
      </c>
      <c r="C56" s="11">
        <f t="shared" si="29"/>
        <v>0.2246521934</v>
      </c>
      <c r="D56" s="11">
        <f t="shared" si="29"/>
        <v>0.2268111656</v>
      </c>
      <c r="E56" s="11">
        <f t="shared" si="29"/>
        <v>0.228531792</v>
      </c>
      <c r="F56" s="11">
        <f t="shared" si="29"/>
        <v>0.2268901479</v>
      </c>
      <c r="G56" s="11">
        <f t="shared" si="29"/>
        <v>0.2260772797</v>
      </c>
      <c r="H56" s="11">
        <f t="shared" si="29"/>
        <v>0.2270437836</v>
      </c>
      <c r="I56" s="11">
        <f t="shared" si="29"/>
        <v>0.2269670165</v>
      </c>
      <c r="J56" s="11">
        <f t="shared" si="29"/>
        <v>0.2269679288</v>
      </c>
      <c r="K56" s="11">
        <f t="shared" si="29"/>
        <v>0.2268947461</v>
      </c>
      <c r="L56" s="11">
        <f t="shared" si="29"/>
        <v>0.2267456654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39</v>
      </c>
      <c r="B57" s="10">
        <f>0.5*F13+B52*(1-F15)</f>
        <v>837836.9487</v>
      </c>
      <c r="C57" s="10">
        <f t="shared" ref="C57:L57" si="30">B57+C52*(1-$F$15)</f>
        <v>1110087.517</v>
      </c>
      <c r="D57" s="10">
        <f t="shared" si="30"/>
        <v>1396925.348</v>
      </c>
      <c r="E57" s="10">
        <f t="shared" si="30"/>
        <v>1700159.167</v>
      </c>
      <c r="F57" s="10">
        <f t="shared" si="30"/>
        <v>2019083.133</v>
      </c>
      <c r="G57" s="10">
        <f t="shared" si="30"/>
        <v>2355225.385</v>
      </c>
      <c r="H57" s="10">
        <f t="shared" si="30"/>
        <v>2709618.579</v>
      </c>
      <c r="I57" s="10">
        <f t="shared" si="30"/>
        <v>3082927.682</v>
      </c>
      <c r="J57" s="10">
        <f t="shared" si="30"/>
        <v>3476353.073</v>
      </c>
      <c r="K57" s="10">
        <f t="shared" si="30"/>
        <v>3891018.954</v>
      </c>
      <c r="L57" s="10">
        <f t="shared" si="30"/>
        <v>4327944.933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40</v>
      </c>
      <c r="B58" s="10">
        <f>(0.5*F13+F15*B52)*(1+B32)</f>
        <v>5737762.547</v>
      </c>
      <c r="C58" s="10">
        <f t="shared" ref="C58:L58" si="31">(B58+$F$15*C52)*(1+C32)</f>
        <v>11370947.42</v>
      </c>
      <c r="D58" s="10">
        <f t="shared" si="31"/>
        <v>17567712.68</v>
      </c>
      <c r="E58" s="10">
        <f t="shared" si="31"/>
        <v>24369635.56</v>
      </c>
      <c r="F58" s="10">
        <f t="shared" si="31"/>
        <v>31768075.31</v>
      </c>
      <c r="G58" s="10">
        <f t="shared" si="31"/>
        <v>39780171.66</v>
      </c>
      <c r="H58" s="10">
        <f t="shared" si="31"/>
        <v>48541637.14</v>
      </c>
      <c r="I58" s="10">
        <f t="shared" si="31"/>
        <v>58071301.65</v>
      </c>
      <c r="J58" s="10">
        <f t="shared" si="31"/>
        <v>68410761.06</v>
      </c>
      <c r="K58" s="10">
        <f t="shared" si="31"/>
        <v>79608002.25</v>
      </c>
      <c r="L58" s="10">
        <f t="shared" si="31"/>
        <v>91724872.31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41</v>
      </c>
      <c r="B59" s="11">
        <f>(B58-F13-B33)/(B58+B52)</f>
        <v>0.03666895711</v>
      </c>
      <c r="C59" s="11">
        <f t="shared" ref="C59:L59" si="32">(C58-B58-C33)/(C52+C58-B58)</f>
        <v>0.111322116</v>
      </c>
      <c r="D59" s="11">
        <f t="shared" si="32"/>
        <v>0.1310785392</v>
      </c>
      <c r="E59" s="11">
        <f t="shared" si="32"/>
        <v>0.1487998175</v>
      </c>
      <c r="F59" s="11">
        <f t="shared" si="32"/>
        <v>0.1633310662</v>
      </c>
      <c r="G59" s="11">
        <f t="shared" si="32"/>
        <v>0.1756021651</v>
      </c>
      <c r="H59" s="11">
        <f t="shared" si="32"/>
        <v>0.1920579507</v>
      </c>
      <c r="I59" s="11">
        <f t="shared" si="32"/>
        <v>0.2062423424</v>
      </c>
      <c r="J59" s="11">
        <f t="shared" si="32"/>
        <v>0.2191919865</v>
      </c>
      <c r="K59" s="11">
        <f t="shared" si="32"/>
        <v>0.2312262512</v>
      </c>
      <c r="L59" s="11">
        <f t="shared" si="32"/>
        <v>0.2429354688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10"/>
      <c r="F60" s="10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10"/>
      <c r="F61" s="10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5" t="s">
        <v>25</v>
      </c>
      <c r="C62" s="49">
        <v>2176.0</v>
      </c>
      <c r="D62" s="49">
        <v>2177.0</v>
      </c>
      <c r="E62" s="49">
        <v>2178.0</v>
      </c>
      <c r="F62" s="49">
        <v>2179.0</v>
      </c>
      <c r="G62" s="49">
        <v>2180.0</v>
      </c>
      <c r="H62" s="49">
        <v>2181.0</v>
      </c>
      <c r="I62" s="49">
        <v>2182.0</v>
      </c>
      <c r="J62" s="49">
        <v>2183.0</v>
      </c>
      <c r="K62" s="49">
        <v>2184.0</v>
      </c>
      <c r="L62" s="49">
        <v>2185.0</v>
      </c>
      <c r="M62" s="49">
        <v>2186.0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50" t="s">
        <v>96</v>
      </c>
      <c r="C63" s="51">
        <f>4181856.97/1000000</f>
        <v>4.18185697</v>
      </c>
      <c r="D63" s="51">
        <f>4399936.63/1000000</f>
        <v>4.39993663</v>
      </c>
      <c r="E63" s="51">
        <f>4632536.64/1000000</f>
        <v>4.63253664</v>
      </c>
      <c r="F63" s="51">
        <f>4887375.26/1000000</f>
        <v>4.88737526</v>
      </c>
      <c r="G63" s="51">
        <f>5148240.87/1000000</f>
        <v>5.14824087</v>
      </c>
      <c r="H63" s="51">
        <f>5424608.74/1000000</f>
        <v>5.42460874</v>
      </c>
      <c r="I63" s="51">
        <f>5717475.77/1000000</f>
        <v>5.71747577</v>
      </c>
      <c r="J63" s="51">
        <f>6024401.3/1000000</f>
        <v>6.0244013</v>
      </c>
      <c r="K63" s="51">
        <f>6348418.91/1000000</f>
        <v>6.34841891</v>
      </c>
      <c r="L63" s="51">
        <f>6690512.35/1000000</f>
        <v>6.69051235</v>
      </c>
      <c r="M63" s="51">
        <f>7050356.2/1000000</f>
        <v>7.0503562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 t="s">
        <v>18</v>
      </c>
      <c r="C64" s="11">
        <f t="shared" ref="C64:M64" si="33">B56</f>
        <v>0.2269218742</v>
      </c>
      <c r="D64" s="11">
        <f t="shared" si="33"/>
        <v>0.2246521934</v>
      </c>
      <c r="E64" s="11">
        <f t="shared" si="33"/>
        <v>0.2268111656</v>
      </c>
      <c r="F64" s="11">
        <f t="shared" si="33"/>
        <v>0.228531792</v>
      </c>
      <c r="G64" s="11">
        <f t="shared" si="33"/>
        <v>0.2268901479</v>
      </c>
      <c r="H64" s="11">
        <f t="shared" si="33"/>
        <v>0.2260772797</v>
      </c>
      <c r="I64" s="11">
        <f t="shared" si="33"/>
        <v>0.2270437836</v>
      </c>
      <c r="J64" s="11">
        <f t="shared" si="33"/>
        <v>0.2269670165</v>
      </c>
      <c r="K64" s="11">
        <f t="shared" si="33"/>
        <v>0.2269679288</v>
      </c>
      <c r="L64" s="11">
        <f t="shared" si="33"/>
        <v>0.2268947461</v>
      </c>
      <c r="M64" s="11">
        <f t="shared" si="33"/>
        <v>0.2267456654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10"/>
      <c r="F65" s="10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10"/>
      <c r="F66" s="10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10"/>
      <c r="F67" s="10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10"/>
      <c r="F68" s="1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10"/>
      <c r="F69" s="10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10"/>
      <c r="F70" s="10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10"/>
      <c r="F71" s="10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10"/>
      <c r="F72" s="10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10"/>
      <c r="F73" s="10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10"/>
      <c r="F74" s="10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10"/>
      <c r="F75" s="10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10"/>
      <c r="F76" s="10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10"/>
      <c r="F77" s="10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10"/>
      <c r="F78" s="10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10"/>
      <c r="F79" s="10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10"/>
      <c r="F80" s="10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10"/>
      <c r="F81" s="10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10"/>
      <c r="F82" s="10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10"/>
      <c r="F83" s="10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10"/>
      <c r="F84" s="10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10"/>
      <c r="F85" s="10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10"/>
      <c r="F86" s="1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10"/>
      <c r="F87" s="1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10"/>
      <c r="F88" s="10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10"/>
      <c r="F89" s="1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10"/>
      <c r="F90" s="10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10"/>
      <c r="F91" s="1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10"/>
      <c r="F92" s="10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10"/>
      <c r="F93" s="10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10"/>
      <c r="F94" s="10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10"/>
      <c r="F95" s="10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10"/>
      <c r="F96" s="10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10"/>
      <c r="F97" s="10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10"/>
      <c r="F98" s="10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10"/>
      <c r="F99" s="10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10"/>
      <c r="F100" s="10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10"/>
      <c r="F101" s="10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10"/>
      <c r="F102" s="10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10"/>
      <c r="F103" s="10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10"/>
      <c r="F104" s="10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10"/>
      <c r="F105" s="10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10"/>
      <c r="F106" s="10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10"/>
      <c r="F107" s="10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10"/>
      <c r="F108" s="10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10"/>
      <c r="F109" s="10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10"/>
      <c r="F110" s="10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10"/>
      <c r="F111" s="10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10"/>
      <c r="F112" s="10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10"/>
      <c r="F113" s="10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10"/>
      <c r="F114" s="10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10"/>
      <c r="F115" s="10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10"/>
      <c r="F116" s="10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10"/>
      <c r="F117" s="10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10"/>
      <c r="F118" s="1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10"/>
      <c r="F119" s="1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10"/>
      <c r="F120" s="10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10"/>
      <c r="F121" s="1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10"/>
      <c r="F122" s="10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10"/>
      <c r="F123" s="10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10"/>
      <c r="F124" s="1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10"/>
      <c r="F125" s="1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10"/>
      <c r="F126" s="1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10"/>
      <c r="F127" s="1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10"/>
      <c r="F128" s="10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10"/>
      <c r="F129" s="10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10"/>
      <c r="F130" s="1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10"/>
      <c r="F131" s="1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10"/>
      <c r="F132" s="1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10"/>
      <c r="F133" s="1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10"/>
      <c r="F134" s="1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10"/>
      <c r="F135" s="1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10"/>
      <c r="F136" s="1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10"/>
      <c r="F137" s="1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10"/>
      <c r="F138" s="1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10"/>
      <c r="F139" s="1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10"/>
      <c r="F140" s="1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10"/>
      <c r="F141" s="1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10"/>
      <c r="F142" s="10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10"/>
      <c r="F143" s="10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10"/>
      <c r="F144" s="10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10"/>
      <c r="F145" s="10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10"/>
      <c r="F146" s="10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10"/>
      <c r="F147" s="10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10"/>
      <c r="F148" s="1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10"/>
      <c r="F149" s="10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10"/>
      <c r="F150" s="1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10"/>
      <c r="F151" s="1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10"/>
      <c r="F152" s="1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10"/>
      <c r="F153" s="1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10"/>
      <c r="F154" s="1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10"/>
      <c r="F155" s="10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10"/>
      <c r="F156" s="1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10"/>
      <c r="F157" s="10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10"/>
      <c r="F158" s="10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10"/>
      <c r="F159" s="10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10"/>
      <c r="F160" s="1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10"/>
      <c r="F161" s="10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10"/>
      <c r="F162" s="1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10"/>
      <c r="F163" s="10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10"/>
      <c r="F164" s="1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10"/>
      <c r="F165" s="10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10"/>
      <c r="F166" s="1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10"/>
      <c r="F167" s="10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10"/>
      <c r="F168" s="10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10"/>
      <c r="F169" s="10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10"/>
      <c r="F170" s="1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10"/>
      <c r="F171" s="1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10"/>
      <c r="F172" s="1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10"/>
      <c r="F173" s="10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10"/>
      <c r="F174" s="1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10"/>
      <c r="F175" s="10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10"/>
      <c r="F176" s="10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10"/>
      <c r="F177" s="10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10"/>
      <c r="F178" s="1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10"/>
      <c r="F179" s="10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10"/>
      <c r="F180" s="1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10"/>
      <c r="F181" s="1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10"/>
      <c r="F182" s="10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10"/>
      <c r="F183" s="10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10"/>
      <c r="F184" s="1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10"/>
      <c r="F185" s="10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10"/>
      <c r="F186" s="10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10"/>
      <c r="F187" s="10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10"/>
      <c r="F188" s="10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10"/>
      <c r="F189" s="10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10"/>
      <c r="F190" s="1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10"/>
      <c r="F191" s="10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10"/>
      <c r="F192" s="10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10"/>
      <c r="F193" s="10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10"/>
      <c r="F194" s="10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10"/>
      <c r="F195" s="10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10"/>
      <c r="F196" s="10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10"/>
      <c r="F197" s="10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10"/>
      <c r="F198" s="10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10"/>
      <c r="F199" s="10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10"/>
      <c r="F200" s="10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10"/>
      <c r="F201" s="10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10"/>
      <c r="F202" s="10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10"/>
      <c r="F203" s="10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10"/>
      <c r="F204" s="10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10"/>
      <c r="F205" s="10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10"/>
      <c r="F206" s="10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10"/>
      <c r="F207" s="10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10"/>
      <c r="F208" s="10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10"/>
      <c r="F209" s="10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10"/>
      <c r="F210" s="10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10"/>
      <c r="F211" s="10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10"/>
      <c r="F212" s="10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10"/>
      <c r="F213" s="10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10"/>
      <c r="F214" s="10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10"/>
      <c r="F215" s="10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10"/>
      <c r="F216" s="10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10"/>
      <c r="F217" s="10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10"/>
      <c r="F218" s="10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10"/>
      <c r="F219" s="10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10"/>
      <c r="F220" s="10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10"/>
      <c r="F221" s="10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10"/>
      <c r="F222" s="10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10"/>
      <c r="F223" s="10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10"/>
      <c r="F224" s="10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10"/>
      <c r="F225" s="10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10"/>
      <c r="F226" s="10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10"/>
      <c r="F227" s="10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10"/>
      <c r="F228" s="10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10"/>
      <c r="F229" s="10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10"/>
      <c r="F230" s="10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10"/>
      <c r="F231" s="10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10"/>
      <c r="F232" s="10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10"/>
      <c r="F233" s="10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10"/>
      <c r="F234" s="10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10"/>
      <c r="F235" s="10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10"/>
      <c r="F236" s="10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10"/>
      <c r="F237" s="10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10"/>
      <c r="F238" s="10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10"/>
      <c r="F239" s="10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10"/>
      <c r="F240" s="10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10"/>
      <c r="F241" s="1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10"/>
      <c r="F242" s="10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10"/>
      <c r="F243" s="10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10"/>
      <c r="F244" s="10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10"/>
      <c r="F245" s="10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10"/>
      <c r="F246" s="10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10"/>
      <c r="F247" s="10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10"/>
      <c r="F248" s="10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10"/>
      <c r="F249" s="10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10"/>
      <c r="F250" s="10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10"/>
      <c r="F251" s="10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10"/>
      <c r="F252" s="10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10"/>
      <c r="F253" s="10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10"/>
      <c r="F254" s="10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10"/>
      <c r="F255" s="10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10"/>
      <c r="F256" s="10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10"/>
      <c r="F257" s="10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10"/>
      <c r="F258" s="10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10"/>
      <c r="F259" s="10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10"/>
      <c r="F260" s="10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10"/>
      <c r="F261" s="10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10"/>
      <c r="F262" s="10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10"/>
      <c r="F263" s="10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10"/>
      <c r="F264" s="10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10"/>
      <c r="F265" s="10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10"/>
      <c r="F266" s="10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10"/>
      <c r="F267" s="10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10"/>
      <c r="F268" s="10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10"/>
      <c r="F269" s="10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10"/>
      <c r="F270" s="10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10"/>
      <c r="F271" s="10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10"/>
      <c r="F272" s="10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10"/>
      <c r="F273" s="10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10"/>
      <c r="F274" s="10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10"/>
      <c r="F275" s="10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10"/>
      <c r="F276" s="10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10"/>
      <c r="F277" s="10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10"/>
      <c r="F278" s="10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10"/>
      <c r="F279" s="10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10"/>
      <c r="F280" s="10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10"/>
      <c r="F281" s="10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10"/>
      <c r="F282" s="10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10"/>
      <c r="F283" s="10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10"/>
      <c r="F284" s="10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10"/>
      <c r="F285" s="10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10"/>
      <c r="F286" s="10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10"/>
      <c r="F287" s="10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10"/>
      <c r="F288" s="10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10"/>
      <c r="F289" s="10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10"/>
      <c r="F290" s="10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10"/>
      <c r="F291" s="10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10"/>
      <c r="F292" s="10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10"/>
      <c r="F293" s="10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10"/>
      <c r="F294" s="10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10"/>
      <c r="F295" s="10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10"/>
      <c r="F296" s="10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10"/>
      <c r="F297" s="10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10"/>
      <c r="F298" s="10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10"/>
      <c r="F299" s="10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10"/>
      <c r="F300" s="10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10"/>
      <c r="F301" s="10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10"/>
      <c r="F302" s="10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10"/>
      <c r="F303" s="10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10"/>
      <c r="F304" s="10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10"/>
      <c r="F305" s="10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10"/>
      <c r="F306" s="10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10"/>
      <c r="F307" s="10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10"/>
      <c r="F308" s="10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10"/>
      <c r="F309" s="10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10"/>
      <c r="F310" s="10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10"/>
      <c r="F311" s="10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10"/>
      <c r="F312" s="10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10"/>
      <c r="F313" s="10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10"/>
      <c r="F314" s="10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10"/>
      <c r="F315" s="10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10"/>
      <c r="F316" s="10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10"/>
      <c r="F317" s="10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10"/>
      <c r="F318" s="10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10"/>
      <c r="F319" s="10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10"/>
      <c r="F320" s="10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10"/>
      <c r="F321" s="10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10"/>
      <c r="F322" s="10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10"/>
      <c r="F323" s="10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10"/>
      <c r="F324" s="10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10"/>
      <c r="F325" s="10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10"/>
      <c r="F326" s="10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10"/>
      <c r="F327" s="10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10"/>
      <c r="F328" s="10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10"/>
      <c r="F329" s="10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10"/>
      <c r="F330" s="10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10"/>
      <c r="F331" s="10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10"/>
      <c r="F332" s="10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10"/>
      <c r="F333" s="10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10"/>
      <c r="F334" s="10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10"/>
      <c r="F335" s="10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10"/>
      <c r="F336" s="10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10"/>
      <c r="F337" s="10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10"/>
      <c r="F338" s="10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10"/>
      <c r="F339" s="10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10"/>
      <c r="F340" s="10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10"/>
      <c r="F341" s="10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10"/>
      <c r="F342" s="10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10"/>
      <c r="F343" s="10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10"/>
      <c r="F344" s="10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10"/>
      <c r="F345" s="10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10"/>
      <c r="F346" s="10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10"/>
      <c r="F347" s="10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10"/>
      <c r="F348" s="10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10"/>
      <c r="F349" s="10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10"/>
      <c r="F350" s="10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10"/>
      <c r="F351" s="10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10"/>
      <c r="F352" s="10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10"/>
      <c r="F353" s="10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10"/>
      <c r="F354" s="10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10"/>
      <c r="F355" s="10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10"/>
      <c r="F356" s="10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10"/>
      <c r="F357" s="10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10"/>
      <c r="F358" s="10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10"/>
      <c r="F359" s="10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10"/>
      <c r="F360" s="10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10"/>
      <c r="F361" s="10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10"/>
      <c r="F362" s="10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10"/>
      <c r="F363" s="10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10"/>
      <c r="F364" s="10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10"/>
      <c r="F365" s="10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10"/>
      <c r="F366" s="10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10"/>
      <c r="F367" s="10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10"/>
      <c r="F368" s="10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10"/>
      <c r="F369" s="10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10"/>
      <c r="F370" s="10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10"/>
      <c r="F371" s="10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10"/>
      <c r="F372" s="10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10"/>
      <c r="F373" s="10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10"/>
      <c r="F374" s="10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10"/>
      <c r="F375" s="10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10"/>
      <c r="F376" s="10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10"/>
      <c r="F377" s="10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10"/>
      <c r="F378" s="10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10"/>
      <c r="F379" s="10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10"/>
      <c r="F380" s="10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10"/>
      <c r="F381" s="10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10"/>
      <c r="F382" s="10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10"/>
      <c r="F383" s="10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10"/>
      <c r="F384" s="10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10"/>
      <c r="F385" s="10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10"/>
      <c r="F386" s="10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10"/>
      <c r="F387" s="10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10"/>
      <c r="F388" s="10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10"/>
      <c r="F389" s="10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10"/>
      <c r="F390" s="10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10"/>
      <c r="F391" s="10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10"/>
      <c r="F392" s="10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10"/>
      <c r="F393" s="10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10"/>
      <c r="F394" s="10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10"/>
      <c r="F395" s="10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10"/>
      <c r="F396" s="10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10"/>
      <c r="F397" s="10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10"/>
      <c r="F398" s="10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10"/>
      <c r="F399" s="10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10"/>
      <c r="F400" s="10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10"/>
      <c r="F401" s="10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10"/>
      <c r="F402" s="10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10"/>
      <c r="F403" s="10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10"/>
      <c r="F404" s="10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10"/>
      <c r="F405" s="10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10"/>
      <c r="F406" s="10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10"/>
      <c r="F407" s="10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10"/>
      <c r="F408" s="10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10"/>
      <c r="F409" s="10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10"/>
      <c r="F410" s="10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10"/>
      <c r="F411" s="10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10"/>
      <c r="F412" s="10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10"/>
      <c r="F413" s="10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10"/>
      <c r="F414" s="10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10"/>
      <c r="F415" s="10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10"/>
      <c r="F416" s="10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10"/>
      <c r="F417" s="10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10"/>
      <c r="F418" s="10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10"/>
      <c r="F419" s="10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10"/>
      <c r="F420" s="10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10"/>
      <c r="F421" s="10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10"/>
      <c r="F422" s="10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10"/>
      <c r="F423" s="10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10"/>
      <c r="F424" s="10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10"/>
      <c r="F425" s="10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10"/>
      <c r="F426" s="10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10"/>
      <c r="F427" s="10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10"/>
      <c r="F428" s="10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10"/>
      <c r="F429" s="10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10"/>
      <c r="F430" s="10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10"/>
      <c r="F431" s="10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10"/>
      <c r="F432" s="10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10"/>
      <c r="F433" s="10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10"/>
      <c r="F434" s="10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10"/>
      <c r="F435" s="10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10"/>
      <c r="F436" s="10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10"/>
      <c r="F437" s="10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10"/>
      <c r="F438" s="10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10"/>
      <c r="F439" s="10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10"/>
      <c r="F440" s="10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10"/>
      <c r="F441" s="10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10"/>
      <c r="F442" s="10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10"/>
      <c r="F443" s="10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10"/>
      <c r="F444" s="10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10"/>
      <c r="F445" s="10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10"/>
      <c r="F446" s="10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10"/>
      <c r="F447" s="10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10"/>
      <c r="F448" s="10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10"/>
      <c r="F449" s="10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10"/>
      <c r="F450" s="10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10"/>
      <c r="F451" s="10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10"/>
      <c r="F452" s="10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10"/>
      <c r="F453" s="10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10"/>
      <c r="F454" s="10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10"/>
      <c r="F455" s="10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10"/>
      <c r="F456" s="10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10"/>
      <c r="F457" s="10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10"/>
      <c r="F458" s="10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10"/>
      <c r="F459" s="10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10"/>
      <c r="F460" s="10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10"/>
      <c r="F461" s="10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10"/>
      <c r="F462" s="10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10"/>
      <c r="F463" s="10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10"/>
      <c r="F464" s="10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10"/>
      <c r="F465" s="10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10"/>
      <c r="F466" s="10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10"/>
      <c r="F467" s="10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10"/>
      <c r="F468" s="10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10"/>
      <c r="F469" s="10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10"/>
      <c r="F470" s="10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10"/>
      <c r="F471" s="10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10"/>
      <c r="F472" s="10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10"/>
      <c r="F473" s="10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10"/>
      <c r="F474" s="10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10"/>
      <c r="F475" s="10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10"/>
      <c r="F476" s="10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10"/>
      <c r="F477" s="10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10"/>
      <c r="F478" s="10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10"/>
      <c r="F479" s="10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10"/>
      <c r="F480" s="10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10"/>
      <c r="F481" s="10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10"/>
      <c r="F482" s="10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10"/>
      <c r="F483" s="10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10"/>
      <c r="F484" s="10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10"/>
      <c r="F485" s="10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10"/>
      <c r="F486" s="10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10"/>
      <c r="F487" s="10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10"/>
      <c r="F488" s="10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10"/>
      <c r="F489" s="10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10"/>
      <c r="F490" s="10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10"/>
      <c r="F491" s="10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10"/>
      <c r="F492" s="10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10"/>
      <c r="F493" s="10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10"/>
      <c r="F494" s="10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10"/>
      <c r="F495" s="10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10"/>
      <c r="F496" s="10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10"/>
      <c r="F497" s="10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10"/>
      <c r="F498" s="10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10"/>
      <c r="F499" s="10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10"/>
      <c r="F500" s="10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10"/>
      <c r="F501" s="10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10"/>
      <c r="F502" s="10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10"/>
      <c r="F503" s="10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10"/>
      <c r="F504" s="10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10"/>
      <c r="F505" s="10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10"/>
      <c r="F506" s="10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10"/>
      <c r="F507" s="10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10"/>
      <c r="F508" s="10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10"/>
      <c r="F509" s="10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10"/>
      <c r="F510" s="10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10"/>
      <c r="F511" s="10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10"/>
      <c r="F512" s="10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10"/>
      <c r="F513" s="10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10"/>
      <c r="F514" s="10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10"/>
      <c r="F515" s="10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10"/>
      <c r="F516" s="10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10"/>
      <c r="F517" s="10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10"/>
      <c r="F518" s="10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10"/>
      <c r="F519" s="10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10"/>
      <c r="F520" s="10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10"/>
      <c r="F521" s="10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10"/>
      <c r="F522" s="10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10"/>
      <c r="F523" s="10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10"/>
      <c r="F524" s="10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10"/>
      <c r="F525" s="10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10"/>
      <c r="F526" s="10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10"/>
      <c r="F527" s="10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10"/>
      <c r="F528" s="10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10"/>
      <c r="F529" s="10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10"/>
      <c r="F530" s="10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10"/>
      <c r="F531" s="10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10"/>
      <c r="F532" s="10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10"/>
      <c r="F533" s="10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10"/>
      <c r="F534" s="10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10"/>
      <c r="F535" s="10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10"/>
      <c r="F536" s="10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10"/>
      <c r="F537" s="10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10"/>
      <c r="F538" s="10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10"/>
      <c r="F539" s="10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10"/>
      <c r="F540" s="10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10"/>
      <c r="F541" s="10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10"/>
      <c r="F542" s="10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10"/>
      <c r="F543" s="10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10"/>
      <c r="F544" s="10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10"/>
      <c r="F545" s="10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10"/>
      <c r="F546" s="10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10"/>
      <c r="F547" s="10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10"/>
      <c r="F548" s="10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10"/>
      <c r="F549" s="10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10"/>
      <c r="F550" s="10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10"/>
      <c r="F551" s="10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10"/>
      <c r="F552" s="10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10"/>
      <c r="F553" s="10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10"/>
      <c r="F554" s="10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10"/>
      <c r="F555" s="10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10"/>
      <c r="F556" s="10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10"/>
      <c r="F557" s="10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10"/>
      <c r="F558" s="10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10"/>
      <c r="F559" s="10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10"/>
      <c r="F560" s="10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10"/>
      <c r="F561" s="10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10"/>
      <c r="F562" s="10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10"/>
      <c r="F563" s="10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10"/>
      <c r="F564" s="10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10"/>
      <c r="F565" s="10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10"/>
      <c r="F566" s="10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10"/>
      <c r="F567" s="10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10"/>
      <c r="F568" s="10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10"/>
      <c r="F569" s="10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10"/>
      <c r="F570" s="10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10"/>
      <c r="F571" s="10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10"/>
      <c r="F572" s="10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10"/>
      <c r="F573" s="10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10"/>
      <c r="F574" s="10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10"/>
      <c r="F575" s="10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10"/>
      <c r="F576" s="10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10"/>
      <c r="F577" s="10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10"/>
      <c r="F578" s="10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10"/>
      <c r="F579" s="10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10"/>
      <c r="F580" s="10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10"/>
      <c r="F581" s="10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10"/>
      <c r="F582" s="10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10"/>
      <c r="F583" s="10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10"/>
      <c r="F584" s="10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10"/>
      <c r="F585" s="10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10"/>
      <c r="F586" s="10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10"/>
      <c r="F587" s="10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10"/>
      <c r="F588" s="10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10"/>
      <c r="F589" s="10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10"/>
      <c r="F590" s="10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10"/>
      <c r="F591" s="10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10"/>
      <c r="F592" s="10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10"/>
      <c r="F593" s="10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10"/>
      <c r="F594" s="10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10"/>
      <c r="F595" s="10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10"/>
      <c r="F596" s="10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10"/>
      <c r="F597" s="10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10"/>
      <c r="F598" s="10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10"/>
      <c r="F599" s="10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10"/>
      <c r="F600" s="10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10"/>
      <c r="F601" s="10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10"/>
      <c r="F602" s="10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10"/>
      <c r="F603" s="10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10"/>
      <c r="F604" s="10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10"/>
      <c r="F605" s="10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10"/>
      <c r="F606" s="10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10"/>
      <c r="F607" s="10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10"/>
      <c r="F608" s="10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10"/>
      <c r="F609" s="10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10"/>
      <c r="F610" s="10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10"/>
      <c r="F611" s="10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10"/>
      <c r="F612" s="10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10"/>
      <c r="F613" s="10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10"/>
      <c r="F614" s="10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10"/>
      <c r="F615" s="10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10"/>
      <c r="F616" s="10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10"/>
      <c r="F617" s="10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10"/>
      <c r="F618" s="10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10"/>
      <c r="F619" s="10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10"/>
      <c r="F620" s="10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10"/>
      <c r="F621" s="10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10"/>
      <c r="F622" s="10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10"/>
      <c r="F623" s="10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10"/>
      <c r="F624" s="10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10"/>
      <c r="F625" s="10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10"/>
      <c r="F626" s="10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10"/>
      <c r="F627" s="10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10"/>
      <c r="F628" s="10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10"/>
      <c r="F629" s="10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10"/>
      <c r="F630" s="10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10"/>
      <c r="F631" s="10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10"/>
      <c r="F632" s="10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10"/>
      <c r="F633" s="10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10"/>
      <c r="F634" s="10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10"/>
      <c r="F635" s="10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10"/>
      <c r="F636" s="10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10"/>
      <c r="F637" s="10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10"/>
      <c r="F638" s="10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10"/>
      <c r="F639" s="10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10"/>
      <c r="F640" s="10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10"/>
      <c r="F641" s="10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10"/>
      <c r="F642" s="10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10"/>
      <c r="F643" s="10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10"/>
      <c r="F644" s="10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10"/>
      <c r="F645" s="10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10"/>
      <c r="F646" s="10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10"/>
      <c r="F647" s="10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10"/>
      <c r="F648" s="10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10"/>
      <c r="F649" s="10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10"/>
      <c r="F650" s="10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10"/>
      <c r="F651" s="10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10"/>
      <c r="F652" s="10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10"/>
      <c r="F653" s="10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10"/>
      <c r="F654" s="10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10"/>
      <c r="F655" s="10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10"/>
      <c r="F656" s="10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10"/>
      <c r="F657" s="10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10"/>
      <c r="F658" s="10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10"/>
      <c r="F659" s="10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10"/>
      <c r="F660" s="10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10"/>
      <c r="F661" s="10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10"/>
      <c r="F662" s="10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10"/>
      <c r="F663" s="10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10"/>
      <c r="F664" s="10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10"/>
      <c r="F665" s="10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10"/>
      <c r="F666" s="10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10"/>
      <c r="F667" s="10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10"/>
      <c r="F668" s="10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10"/>
      <c r="F669" s="10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10"/>
      <c r="F670" s="10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10"/>
      <c r="F671" s="10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10"/>
      <c r="F672" s="10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10"/>
      <c r="F673" s="10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10"/>
      <c r="F674" s="10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10"/>
      <c r="F675" s="10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10"/>
      <c r="F676" s="10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10"/>
      <c r="F677" s="10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10"/>
      <c r="F678" s="10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10"/>
      <c r="F679" s="10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10"/>
      <c r="F680" s="10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10"/>
      <c r="F681" s="10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10"/>
      <c r="F682" s="10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10"/>
      <c r="F683" s="10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10"/>
      <c r="F684" s="10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10"/>
      <c r="F685" s="10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10"/>
      <c r="F686" s="10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10"/>
      <c r="F687" s="10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10"/>
      <c r="F688" s="10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10"/>
      <c r="F689" s="10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10"/>
      <c r="F690" s="10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10"/>
      <c r="F691" s="10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10"/>
      <c r="F692" s="10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10"/>
      <c r="F693" s="10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10"/>
      <c r="F694" s="10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10"/>
      <c r="F695" s="10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10"/>
      <c r="F696" s="10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10"/>
      <c r="F697" s="10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10"/>
      <c r="F698" s="10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10"/>
      <c r="F699" s="10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10"/>
      <c r="F700" s="10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10"/>
      <c r="F701" s="10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10"/>
      <c r="F702" s="10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10"/>
      <c r="F703" s="10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10"/>
      <c r="F704" s="10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10"/>
      <c r="F705" s="10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10"/>
      <c r="F706" s="10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10"/>
      <c r="F707" s="10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10"/>
      <c r="F708" s="10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10"/>
      <c r="F709" s="10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10"/>
      <c r="F710" s="10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10"/>
      <c r="F711" s="10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10"/>
      <c r="F712" s="10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10"/>
      <c r="F713" s="10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10"/>
      <c r="F714" s="10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10"/>
      <c r="F715" s="10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10"/>
      <c r="F716" s="10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10"/>
      <c r="F717" s="10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10"/>
      <c r="F718" s="10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10"/>
      <c r="F719" s="10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10"/>
      <c r="F720" s="10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10"/>
      <c r="F721" s="10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10"/>
      <c r="F722" s="10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10"/>
      <c r="F723" s="10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10"/>
      <c r="F724" s="10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10"/>
      <c r="F725" s="10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10"/>
      <c r="F726" s="10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10"/>
      <c r="F727" s="10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10"/>
      <c r="F728" s="10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10"/>
      <c r="F729" s="10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10"/>
      <c r="F730" s="10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10"/>
      <c r="F731" s="10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10"/>
      <c r="F732" s="10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10"/>
      <c r="F733" s="10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10"/>
      <c r="F734" s="10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10"/>
      <c r="F735" s="10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10"/>
      <c r="F736" s="10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10"/>
      <c r="F737" s="10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10"/>
      <c r="F738" s="10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10"/>
      <c r="F739" s="10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10"/>
      <c r="F740" s="10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10"/>
      <c r="F741" s="10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10"/>
      <c r="F742" s="10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10"/>
      <c r="F743" s="10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10"/>
      <c r="F744" s="10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10"/>
      <c r="F745" s="10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10"/>
      <c r="F746" s="10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10"/>
      <c r="F747" s="10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10"/>
      <c r="F748" s="10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10"/>
      <c r="F749" s="10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10"/>
      <c r="F750" s="10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10"/>
      <c r="F751" s="10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10"/>
      <c r="F752" s="10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10"/>
      <c r="F753" s="10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10"/>
      <c r="F754" s="10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10"/>
      <c r="F755" s="10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10"/>
      <c r="F756" s="10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10"/>
      <c r="F757" s="10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10"/>
      <c r="F758" s="10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10"/>
      <c r="F759" s="10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10"/>
      <c r="F760" s="10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10"/>
      <c r="F761" s="10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10"/>
      <c r="F762" s="10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10"/>
      <c r="F763" s="10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10"/>
      <c r="F764" s="10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10"/>
      <c r="F765" s="10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10"/>
      <c r="F766" s="10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10"/>
      <c r="F767" s="10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10"/>
      <c r="F768" s="10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10"/>
      <c r="F769" s="10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10"/>
      <c r="F770" s="10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10"/>
      <c r="F771" s="10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10"/>
      <c r="F772" s="10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10"/>
      <c r="F773" s="10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10"/>
      <c r="F774" s="10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10"/>
      <c r="F775" s="10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10"/>
      <c r="F776" s="10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10"/>
      <c r="F777" s="10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10"/>
      <c r="F778" s="10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10"/>
      <c r="F779" s="10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10"/>
      <c r="F780" s="10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10"/>
      <c r="F781" s="10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10"/>
      <c r="F782" s="10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10"/>
      <c r="F783" s="10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10"/>
      <c r="F784" s="10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10"/>
      <c r="F785" s="10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10"/>
      <c r="F786" s="10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10"/>
      <c r="F787" s="10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10"/>
      <c r="F788" s="10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10"/>
      <c r="F789" s="10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10"/>
      <c r="F790" s="10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10"/>
      <c r="F791" s="10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10"/>
      <c r="F792" s="10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10"/>
      <c r="F793" s="10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10"/>
      <c r="F794" s="10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10"/>
      <c r="F795" s="10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10"/>
      <c r="F796" s="10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10"/>
      <c r="F797" s="10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10"/>
      <c r="F798" s="10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10"/>
      <c r="F799" s="10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10"/>
      <c r="F800" s="10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10"/>
      <c r="F801" s="10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10"/>
      <c r="F802" s="10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10"/>
      <c r="F803" s="10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10"/>
      <c r="F804" s="10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10"/>
      <c r="F805" s="10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10"/>
      <c r="F806" s="10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10"/>
      <c r="F807" s="10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10"/>
      <c r="F808" s="10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10"/>
      <c r="F809" s="10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10"/>
      <c r="F810" s="10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10"/>
      <c r="F811" s="10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10"/>
      <c r="F812" s="10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10"/>
      <c r="F813" s="10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10"/>
      <c r="F814" s="10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10"/>
      <c r="F815" s="10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10"/>
      <c r="F816" s="10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10"/>
      <c r="F817" s="10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10"/>
      <c r="F818" s="10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10"/>
      <c r="F819" s="10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10"/>
      <c r="F820" s="10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10"/>
      <c r="F821" s="10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10"/>
      <c r="F822" s="10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10"/>
      <c r="F823" s="10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10"/>
      <c r="F824" s="10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10"/>
      <c r="F825" s="10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10"/>
      <c r="F826" s="10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10"/>
      <c r="F827" s="10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10"/>
      <c r="F828" s="10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10"/>
      <c r="F829" s="10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10"/>
      <c r="F830" s="10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10"/>
      <c r="F831" s="10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10"/>
      <c r="F832" s="10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10"/>
      <c r="F833" s="10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10"/>
      <c r="F834" s="10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10"/>
      <c r="F835" s="10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10"/>
      <c r="F836" s="10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10"/>
      <c r="F837" s="10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10"/>
      <c r="F838" s="10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10"/>
      <c r="F839" s="10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10"/>
      <c r="F840" s="10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10"/>
      <c r="F841" s="10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10"/>
      <c r="F842" s="10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10"/>
      <c r="F843" s="10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10"/>
      <c r="F844" s="10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10"/>
      <c r="F845" s="10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10"/>
      <c r="F846" s="10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10"/>
      <c r="F847" s="10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10"/>
      <c r="F848" s="10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10"/>
      <c r="F849" s="10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10"/>
      <c r="F850" s="10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10"/>
      <c r="F851" s="10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10"/>
      <c r="F852" s="10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10"/>
      <c r="F853" s="10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10"/>
      <c r="F854" s="10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10"/>
      <c r="F855" s="10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10"/>
      <c r="F856" s="10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10"/>
      <c r="F857" s="10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10"/>
      <c r="F858" s="10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10"/>
      <c r="F859" s="10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10"/>
      <c r="F860" s="10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10"/>
      <c r="F861" s="10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10"/>
      <c r="F862" s="10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10"/>
      <c r="F863" s="10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10"/>
      <c r="F864" s="10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10"/>
      <c r="F865" s="10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10"/>
      <c r="F866" s="10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10"/>
      <c r="F867" s="10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10"/>
      <c r="F868" s="10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10"/>
      <c r="F869" s="10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10"/>
      <c r="F870" s="10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10"/>
      <c r="F871" s="10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10"/>
      <c r="F872" s="10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10"/>
      <c r="F873" s="10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10"/>
      <c r="F874" s="10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10"/>
      <c r="F875" s="10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10"/>
      <c r="F876" s="10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10"/>
      <c r="F877" s="10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10"/>
      <c r="F878" s="10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10"/>
      <c r="F879" s="10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10"/>
      <c r="F880" s="10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10"/>
      <c r="F881" s="10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10"/>
      <c r="F882" s="10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10"/>
      <c r="F883" s="10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10"/>
      <c r="F884" s="10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10"/>
      <c r="F885" s="10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10"/>
      <c r="F886" s="10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10"/>
      <c r="F887" s="10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10"/>
      <c r="F888" s="10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10"/>
      <c r="F889" s="10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10"/>
      <c r="F890" s="10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10"/>
      <c r="F891" s="10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10"/>
      <c r="F892" s="10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10"/>
      <c r="F893" s="10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10"/>
      <c r="F894" s="10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10"/>
      <c r="F895" s="10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10"/>
      <c r="F896" s="10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10"/>
      <c r="F897" s="10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10"/>
      <c r="F898" s="10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10"/>
      <c r="F899" s="10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10"/>
      <c r="F900" s="10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10"/>
      <c r="F901" s="10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10"/>
      <c r="F902" s="10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10"/>
      <c r="F903" s="10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10"/>
      <c r="F904" s="10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10"/>
      <c r="F905" s="10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10"/>
      <c r="F906" s="10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10"/>
      <c r="F907" s="10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10"/>
      <c r="F908" s="10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10"/>
      <c r="F909" s="10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10"/>
      <c r="F910" s="10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10"/>
      <c r="F911" s="10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10"/>
      <c r="F912" s="10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10"/>
      <c r="F913" s="10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10"/>
      <c r="F914" s="10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10"/>
      <c r="F915" s="10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10"/>
      <c r="F916" s="10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10"/>
      <c r="F917" s="10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10"/>
      <c r="F918" s="10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10"/>
      <c r="F919" s="10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10"/>
      <c r="F920" s="10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10"/>
      <c r="F921" s="10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10"/>
      <c r="F922" s="10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10"/>
      <c r="F923" s="10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10"/>
      <c r="F924" s="10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10"/>
      <c r="F925" s="10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10"/>
      <c r="F926" s="10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10"/>
      <c r="F927" s="10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10"/>
      <c r="F928" s="10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10"/>
      <c r="F929" s="10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10"/>
      <c r="F930" s="10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10"/>
      <c r="F931" s="10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10"/>
      <c r="F932" s="10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10"/>
      <c r="F933" s="10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10"/>
      <c r="F934" s="10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10"/>
      <c r="F935" s="10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10"/>
      <c r="F936" s="10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10"/>
      <c r="F937" s="10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10"/>
      <c r="F938" s="10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10"/>
      <c r="F939" s="10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10"/>
      <c r="F940" s="10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10"/>
      <c r="F941" s="10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10"/>
      <c r="F942" s="10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10"/>
      <c r="F943" s="10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10"/>
      <c r="F944" s="10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10"/>
      <c r="F945" s="10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10"/>
      <c r="F946" s="10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10"/>
      <c r="F947" s="10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10"/>
      <c r="F948" s="10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10"/>
      <c r="F949" s="10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10"/>
      <c r="F950" s="10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10"/>
      <c r="F951" s="10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10"/>
      <c r="F952" s="10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10"/>
      <c r="F953" s="10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10"/>
      <c r="F954" s="10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10"/>
      <c r="F955" s="10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10"/>
      <c r="F956" s="10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10"/>
      <c r="F957" s="10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10"/>
      <c r="F958" s="10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10"/>
      <c r="F959" s="10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10"/>
      <c r="F960" s="10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10"/>
      <c r="F961" s="10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10"/>
      <c r="F962" s="10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10"/>
      <c r="F963" s="10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10"/>
      <c r="F964" s="10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10"/>
      <c r="F965" s="10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10"/>
      <c r="F966" s="10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10"/>
      <c r="F967" s="10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10"/>
      <c r="F968" s="10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10"/>
      <c r="F969" s="10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10"/>
      <c r="F970" s="10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10"/>
      <c r="F971" s="10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10"/>
      <c r="F972" s="10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10"/>
      <c r="F973" s="10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10"/>
      <c r="F974" s="10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10"/>
      <c r="F975" s="10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10"/>
      <c r="F976" s="10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10"/>
      <c r="F977" s="10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10"/>
      <c r="F978" s="10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10"/>
      <c r="F979" s="10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10"/>
      <c r="F980" s="10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10"/>
      <c r="F981" s="10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10"/>
      <c r="F982" s="10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10"/>
      <c r="F983" s="10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10"/>
      <c r="F984" s="10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10"/>
      <c r="F985" s="10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10"/>
      <c r="F986" s="10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10"/>
      <c r="F987" s="10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10"/>
      <c r="F988" s="10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10"/>
      <c r="F989" s="10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10"/>
      <c r="F990" s="10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10"/>
      <c r="F991" s="10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10"/>
      <c r="F992" s="10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10"/>
      <c r="F993" s="10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10"/>
      <c r="F994" s="10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10"/>
      <c r="F995" s="10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10"/>
      <c r="F996" s="10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10"/>
      <c r="F997" s="10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10"/>
      <c r="F998" s="10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10"/>
      <c r="F999" s="10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10"/>
      <c r="F1000" s="10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29.44"/>
    <col customWidth="1" min="2" max="2" width="19.0"/>
    <col customWidth="1" min="3" max="3" width="15.11"/>
    <col customWidth="1" min="4" max="4" width="16.0"/>
    <col customWidth="1" min="5" max="5" width="15.67"/>
    <col customWidth="1" min="6" max="11" width="15.11"/>
    <col customWidth="1" min="12" max="12" width="16.78"/>
    <col customWidth="1" min="13" max="13" width="17.11"/>
    <col customWidth="1" min="14" max="26" width="10.5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 t="s">
        <v>97</v>
      </c>
      <c r="B3" s="2">
        <v>4730.0</v>
      </c>
      <c r="C3" s="2"/>
      <c r="D3" s="2"/>
      <c r="E3" s="2"/>
      <c r="F3" s="2"/>
      <c r="G3" s="2"/>
      <c r="H3" s="2"/>
      <c r="I3" s="2"/>
      <c r="J3" s="2"/>
      <c r="K3" s="2" t="s">
        <v>3</v>
      </c>
      <c r="L3" s="2" t="s">
        <v>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6</v>
      </c>
      <c r="L4" s="2" t="s">
        <v>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61</v>
      </c>
      <c r="B5" s="3" t="s">
        <v>97</v>
      </c>
      <c r="C5" s="3" t="s">
        <v>1</v>
      </c>
      <c r="D5" s="3" t="s">
        <v>2</v>
      </c>
      <c r="E5" s="4"/>
      <c r="F5" s="4"/>
      <c r="G5" s="2"/>
      <c r="H5" s="2"/>
      <c r="I5" s="2"/>
      <c r="J5" s="2"/>
      <c r="K5" s="2" t="s">
        <v>8</v>
      </c>
      <c r="L5" s="2" t="s">
        <v>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3</v>
      </c>
      <c r="B6" s="5">
        <f>550+550+165</f>
        <v>1265</v>
      </c>
      <c r="C6" s="6">
        <v>0.08</v>
      </c>
      <c r="D6" s="6">
        <v>0.1</v>
      </c>
      <c r="E6" s="7"/>
      <c r="F6" s="7"/>
      <c r="G6" s="2"/>
      <c r="H6" s="2"/>
      <c r="I6" s="2"/>
      <c r="J6" s="2"/>
      <c r="K6" s="2" t="s">
        <v>10</v>
      </c>
      <c r="L6" s="2" t="s">
        <v>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4</v>
      </c>
      <c r="B7" s="5">
        <f>440+275+2750</f>
        <v>3465</v>
      </c>
      <c r="C7" s="6">
        <v>0.04</v>
      </c>
      <c r="D7" s="6">
        <v>0.1</v>
      </c>
      <c r="E7" s="7"/>
      <c r="F7" s="7"/>
      <c r="G7" s="9">
        <v>0.051006368421052765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/>
      <c r="B8" s="5"/>
      <c r="C8" s="6"/>
      <c r="D8" s="6"/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>
        <v>2175.0</v>
      </c>
      <c r="B9" s="5"/>
      <c r="C9" s="8" t="s">
        <v>12</v>
      </c>
      <c r="D9" s="6"/>
      <c r="E9" s="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13</v>
      </c>
      <c r="B10" s="7">
        <f>B14/B3</f>
        <v>10110.80317</v>
      </c>
      <c r="C10" s="7"/>
      <c r="D10" s="6"/>
      <c r="E10" s="7"/>
      <c r="F10" s="7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3</v>
      </c>
      <c r="B11" s="7">
        <f>B10/(1-C6-D6)</f>
        <v>12330.24777</v>
      </c>
      <c r="C11" s="7">
        <f t="shared" ref="C11:C12" si="1">B11*B6</f>
        <v>15597763.43</v>
      </c>
      <c r="D11" s="6"/>
      <c r="E11" s="7"/>
      <c r="F11" s="7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4</v>
      </c>
      <c r="B12" s="10">
        <f>B10/(1-C7-D7)</f>
        <v>11756.74787</v>
      </c>
      <c r="C12" s="10">
        <f t="shared" si="1"/>
        <v>40737131.38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15</v>
      </c>
      <c r="B14" s="2">
        <v>4.7824099E7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 t="s">
        <v>16</v>
      </c>
      <c r="B15" s="10">
        <f>SUM(C11:C12)</f>
        <v>56334894.81</v>
      </c>
      <c r="C15" s="10">
        <f>B15*G7</f>
        <v>2873438.4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 t="s">
        <v>17</v>
      </c>
      <c r="B16" s="10">
        <f>(B15+C15)-B14</f>
        <v>11384234.21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" t="s">
        <v>18</v>
      </c>
      <c r="B17" s="11">
        <f>B16/B15</f>
        <v>0.2020813964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19</v>
      </c>
      <c r="B20" s="12" t="s">
        <v>20</v>
      </c>
      <c r="C20" s="1" t="s">
        <v>21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22</v>
      </c>
      <c r="B21" s="13">
        <v>0.25</v>
      </c>
      <c r="C21" s="14">
        <f t="shared" ref="C21:C23" si="2">B21/10</f>
        <v>0.025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 t="s">
        <v>23</v>
      </c>
      <c r="B22" s="13">
        <v>0.25</v>
      </c>
      <c r="C22" s="14">
        <f t="shared" si="2"/>
        <v>0.025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 t="s">
        <v>24</v>
      </c>
      <c r="B23" s="13">
        <v>0.15</v>
      </c>
      <c r="C23" s="14">
        <f t="shared" si="2"/>
        <v>0.015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13"/>
      <c r="C24" s="14">
        <f>AVERAGE(C21:C23)</f>
        <v>0.02166666667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25</v>
      </c>
      <c r="B26" s="15">
        <v>2176.0</v>
      </c>
      <c r="C26" s="15">
        <v>2177.0</v>
      </c>
      <c r="D26" s="15">
        <f t="shared" ref="D26:L26" si="3">C26+1</f>
        <v>2178</v>
      </c>
      <c r="E26" s="15">
        <f t="shared" si="3"/>
        <v>2179</v>
      </c>
      <c r="F26" s="15">
        <f t="shared" si="3"/>
        <v>2180</v>
      </c>
      <c r="G26" s="15">
        <f t="shared" si="3"/>
        <v>2181</v>
      </c>
      <c r="H26" s="15">
        <f t="shared" si="3"/>
        <v>2182</v>
      </c>
      <c r="I26" s="15">
        <f t="shared" si="3"/>
        <v>2183</v>
      </c>
      <c r="J26" s="15">
        <f t="shared" si="3"/>
        <v>2184</v>
      </c>
      <c r="K26" s="15">
        <f t="shared" si="3"/>
        <v>2185</v>
      </c>
      <c r="L26" s="15">
        <f t="shared" si="3"/>
        <v>2186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26</v>
      </c>
      <c r="B27" s="11">
        <v>0.0371</v>
      </c>
      <c r="C27" s="11">
        <v>0.0295</v>
      </c>
      <c r="D27" s="11">
        <v>0.0302</v>
      </c>
      <c r="E27" s="11">
        <v>0.0323</v>
      </c>
      <c r="F27" s="11">
        <v>0.0307</v>
      </c>
      <c r="G27" s="11">
        <v>0.031</v>
      </c>
      <c r="H27" s="11">
        <v>0.0313</v>
      </c>
      <c r="I27" s="11">
        <v>0.031</v>
      </c>
      <c r="J27" s="11">
        <v>0.0311</v>
      </c>
      <c r="K27" s="11">
        <v>0.0312</v>
      </c>
      <c r="L27" s="11">
        <v>0.0311</v>
      </c>
      <c r="M27" s="1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2" t="s">
        <v>27</v>
      </c>
      <c r="B28" s="53">
        <v>0.0376</v>
      </c>
      <c r="C28" s="53">
        <v>0.0422</v>
      </c>
      <c r="D28" s="53">
        <v>0.0444</v>
      </c>
      <c r="E28" s="53">
        <v>0.0446</v>
      </c>
      <c r="F28" s="53">
        <v>0.044</v>
      </c>
      <c r="G28" s="53">
        <v>0.0426</v>
      </c>
      <c r="H28" s="53">
        <v>0.0436</v>
      </c>
      <c r="I28" s="53">
        <v>0.0438</v>
      </c>
      <c r="J28" s="53">
        <v>0.0437</v>
      </c>
      <c r="K28" s="53">
        <v>0.0435</v>
      </c>
      <c r="L28" s="53">
        <v>0.0434</v>
      </c>
      <c r="M28" s="53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64" t="s">
        <v>46</v>
      </c>
      <c r="B29" s="65">
        <f>B14*(1+B27)*(1+2.2%)</f>
        <v>50689537.28</v>
      </c>
      <c r="C29" s="65">
        <f t="shared" ref="C29:L29" si="4">B29*(1+C27)*(1+2.2%)</f>
        <v>53332945.96</v>
      </c>
      <c r="D29" s="65">
        <f t="shared" si="4"/>
        <v>56152360.15</v>
      </c>
      <c r="E29" s="65">
        <f t="shared" si="4"/>
        <v>59241335.17</v>
      </c>
      <c r="F29" s="65">
        <f t="shared" si="4"/>
        <v>62403365.13</v>
      </c>
      <c r="G29" s="65">
        <f t="shared" si="4"/>
        <v>65753302.58</v>
      </c>
      <c r="H29" s="65">
        <f t="shared" si="4"/>
        <v>69303231.33</v>
      </c>
      <c r="I29" s="65">
        <f t="shared" si="4"/>
        <v>73023567.4</v>
      </c>
      <c r="J29" s="65">
        <f t="shared" si="4"/>
        <v>76951081.55</v>
      </c>
      <c r="K29" s="65">
        <f t="shared" si="4"/>
        <v>81097698.31</v>
      </c>
      <c r="L29" s="65">
        <f t="shared" si="4"/>
        <v>85459473.14</v>
      </c>
      <c r="M29" s="66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15.75" customHeight="1">
      <c r="A30" s="1" t="s">
        <v>99</v>
      </c>
      <c r="B30" s="2">
        <f>B3</f>
        <v>4730</v>
      </c>
      <c r="C30" s="2">
        <f t="shared" ref="C30:L30" si="5">B30*(1+1%)</f>
        <v>4777.3</v>
      </c>
      <c r="D30" s="2">
        <f t="shared" si="5"/>
        <v>4825.073</v>
      </c>
      <c r="E30" s="2">
        <f t="shared" si="5"/>
        <v>4873.32373</v>
      </c>
      <c r="F30" s="2">
        <f t="shared" si="5"/>
        <v>4922.056967</v>
      </c>
      <c r="G30" s="2">
        <f t="shared" si="5"/>
        <v>4971.277537</v>
      </c>
      <c r="H30" s="2">
        <f t="shared" si="5"/>
        <v>5020.990312</v>
      </c>
      <c r="I30" s="2">
        <f t="shared" si="5"/>
        <v>5071.200215</v>
      </c>
      <c r="J30" s="2">
        <f t="shared" si="5"/>
        <v>5121.912218</v>
      </c>
      <c r="K30" s="2">
        <f t="shared" si="5"/>
        <v>5173.13134</v>
      </c>
      <c r="L30" s="2">
        <f t="shared" si="5"/>
        <v>5224.862653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100</v>
      </c>
      <c r="B31" s="2">
        <f t="shared" ref="B31:B32" si="7">B6</f>
        <v>1265</v>
      </c>
      <c r="C31" s="2">
        <f t="shared" ref="C31:L31" si="6">B31*(1+1%)</f>
        <v>1277.65</v>
      </c>
      <c r="D31" s="2">
        <f t="shared" si="6"/>
        <v>1290.4265</v>
      </c>
      <c r="E31" s="2">
        <f t="shared" si="6"/>
        <v>1303.330765</v>
      </c>
      <c r="F31" s="2">
        <f t="shared" si="6"/>
        <v>1316.364073</v>
      </c>
      <c r="G31" s="2">
        <f t="shared" si="6"/>
        <v>1329.527713</v>
      </c>
      <c r="H31" s="2">
        <f t="shared" si="6"/>
        <v>1342.822991</v>
      </c>
      <c r="I31" s="2">
        <f t="shared" si="6"/>
        <v>1356.25122</v>
      </c>
      <c r="J31" s="2">
        <f t="shared" si="6"/>
        <v>1369.813733</v>
      </c>
      <c r="K31" s="2">
        <f t="shared" si="6"/>
        <v>1383.51187</v>
      </c>
      <c r="L31" s="2">
        <f t="shared" si="6"/>
        <v>1397.346989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101</v>
      </c>
      <c r="B32" s="2">
        <f t="shared" si="7"/>
        <v>3465</v>
      </c>
      <c r="C32" s="2">
        <f t="shared" ref="C32:L32" si="8">B32*(1+1%)</f>
        <v>3499.65</v>
      </c>
      <c r="D32" s="2">
        <f t="shared" si="8"/>
        <v>3534.6465</v>
      </c>
      <c r="E32" s="2">
        <f t="shared" si="8"/>
        <v>3569.992965</v>
      </c>
      <c r="F32" s="2">
        <f t="shared" si="8"/>
        <v>3605.692895</v>
      </c>
      <c r="G32" s="2">
        <f t="shared" si="8"/>
        <v>3641.749824</v>
      </c>
      <c r="H32" s="2">
        <f t="shared" si="8"/>
        <v>3678.167322</v>
      </c>
      <c r="I32" s="2">
        <f t="shared" si="8"/>
        <v>3714.948995</v>
      </c>
      <c r="J32" s="2">
        <f t="shared" si="8"/>
        <v>3752.098485</v>
      </c>
      <c r="K32" s="2">
        <f t="shared" si="8"/>
        <v>3789.61947</v>
      </c>
      <c r="L32" s="2">
        <f t="shared" si="8"/>
        <v>3827.515665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33</v>
      </c>
      <c r="B33" s="10">
        <f t="shared" ref="B33:L33" si="9">(B29/B30)*(1+B27)</f>
        <v>11114.19009</v>
      </c>
      <c r="C33" s="10">
        <f t="shared" si="9"/>
        <v>11493.15887</v>
      </c>
      <c r="D33" s="10">
        <f t="shared" si="9"/>
        <v>11989.07486</v>
      </c>
      <c r="E33" s="10">
        <f t="shared" si="9"/>
        <v>12548.89551</v>
      </c>
      <c r="F33" s="10">
        <f t="shared" si="9"/>
        <v>13067.53434</v>
      </c>
      <c r="G33" s="10">
        <f t="shared" si="9"/>
        <v>13636.66672</v>
      </c>
      <c r="H33" s="10">
        <f t="shared" si="9"/>
        <v>14234.72622</v>
      </c>
      <c r="I33" s="10">
        <f t="shared" si="9"/>
        <v>14846.05119</v>
      </c>
      <c r="J33" s="10">
        <f t="shared" si="9"/>
        <v>15491.14019</v>
      </c>
      <c r="K33" s="10">
        <f t="shared" si="9"/>
        <v>16165.82704</v>
      </c>
      <c r="L33" s="10">
        <f t="shared" si="9"/>
        <v>16864.99122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34</v>
      </c>
      <c r="B34" s="17">
        <f t="shared" ref="B34:L34" si="10">(1-$C$6-$D$6)</f>
        <v>0.82</v>
      </c>
      <c r="C34" s="17">
        <f t="shared" si="10"/>
        <v>0.82</v>
      </c>
      <c r="D34" s="17">
        <f t="shared" si="10"/>
        <v>0.82</v>
      </c>
      <c r="E34" s="17">
        <f t="shared" si="10"/>
        <v>0.82</v>
      </c>
      <c r="F34" s="17">
        <f t="shared" si="10"/>
        <v>0.82</v>
      </c>
      <c r="G34" s="17">
        <f t="shared" si="10"/>
        <v>0.82</v>
      </c>
      <c r="H34" s="17">
        <f t="shared" si="10"/>
        <v>0.82</v>
      </c>
      <c r="I34" s="17">
        <f t="shared" si="10"/>
        <v>0.82</v>
      </c>
      <c r="J34" s="17">
        <f t="shared" si="10"/>
        <v>0.82</v>
      </c>
      <c r="K34" s="17">
        <f t="shared" si="10"/>
        <v>0.82</v>
      </c>
      <c r="L34" s="17">
        <f t="shared" si="10"/>
        <v>0.82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81</v>
      </c>
      <c r="B35" s="17">
        <f t="shared" ref="B35:L35" si="11">(1-$C$7-$D$7)</f>
        <v>0.86</v>
      </c>
      <c r="C35" s="17">
        <f t="shared" si="11"/>
        <v>0.86</v>
      </c>
      <c r="D35" s="17">
        <f t="shared" si="11"/>
        <v>0.86</v>
      </c>
      <c r="E35" s="17">
        <f t="shared" si="11"/>
        <v>0.86</v>
      </c>
      <c r="F35" s="17">
        <f t="shared" si="11"/>
        <v>0.86</v>
      </c>
      <c r="G35" s="17">
        <f t="shared" si="11"/>
        <v>0.86</v>
      </c>
      <c r="H35" s="17">
        <f t="shared" si="11"/>
        <v>0.86</v>
      </c>
      <c r="I35" s="17">
        <f t="shared" si="11"/>
        <v>0.86</v>
      </c>
      <c r="J35" s="17">
        <f t="shared" si="11"/>
        <v>0.86</v>
      </c>
      <c r="K35" s="17">
        <f t="shared" si="11"/>
        <v>0.86</v>
      </c>
      <c r="L35" s="17">
        <f t="shared" si="11"/>
        <v>0.86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35</v>
      </c>
      <c r="B36" s="10">
        <f t="shared" ref="B36:L36" si="12">B33/B34</f>
        <v>13553.89035</v>
      </c>
      <c r="C36" s="10">
        <f t="shared" si="12"/>
        <v>14016.0474</v>
      </c>
      <c r="D36" s="10">
        <f t="shared" si="12"/>
        <v>14620.82301</v>
      </c>
      <c r="E36" s="10">
        <f t="shared" si="12"/>
        <v>15303.53112</v>
      </c>
      <c r="F36" s="10">
        <f t="shared" si="12"/>
        <v>15936.01749</v>
      </c>
      <c r="G36" s="10">
        <f t="shared" si="12"/>
        <v>16630.08137</v>
      </c>
      <c r="H36" s="10">
        <f t="shared" si="12"/>
        <v>17359.42223</v>
      </c>
      <c r="I36" s="10">
        <f t="shared" si="12"/>
        <v>18104.94047</v>
      </c>
      <c r="J36" s="10">
        <f t="shared" si="12"/>
        <v>18891.63437</v>
      </c>
      <c r="K36" s="10">
        <f t="shared" si="12"/>
        <v>19714.42322</v>
      </c>
      <c r="L36" s="10">
        <f t="shared" si="12"/>
        <v>20567.06246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102</v>
      </c>
      <c r="B37" s="10">
        <f t="shared" ref="B37:L37" si="13">B33/B35</f>
        <v>12923.47685</v>
      </c>
      <c r="C37" s="10">
        <f t="shared" si="13"/>
        <v>13364.13822</v>
      </c>
      <c r="D37" s="10">
        <f t="shared" si="13"/>
        <v>13940.78473</v>
      </c>
      <c r="E37" s="10">
        <f t="shared" si="13"/>
        <v>14591.73897</v>
      </c>
      <c r="F37" s="10">
        <f t="shared" si="13"/>
        <v>15194.80737</v>
      </c>
      <c r="G37" s="10">
        <f t="shared" si="13"/>
        <v>15856.58921</v>
      </c>
      <c r="H37" s="10">
        <f t="shared" si="13"/>
        <v>16552.00724</v>
      </c>
      <c r="I37" s="10">
        <f t="shared" si="13"/>
        <v>17262.85022</v>
      </c>
      <c r="J37" s="10">
        <f t="shared" si="13"/>
        <v>18012.95371</v>
      </c>
      <c r="K37" s="10">
        <f t="shared" si="13"/>
        <v>18797.4733</v>
      </c>
      <c r="L37" s="10">
        <f t="shared" si="13"/>
        <v>19610.4549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36</v>
      </c>
      <c r="B38" s="10">
        <f t="shared" ref="B38:L38" si="14">B36*B31</f>
        <v>17145671.29</v>
      </c>
      <c r="C38" s="10">
        <f t="shared" si="14"/>
        <v>17907602.96</v>
      </c>
      <c r="D38" s="2">
        <f t="shared" si="14"/>
        <v>18867097.46</v>
      </c>
      <c r="E38" s="10">
        <f t="shared" si="14"/>
        <v>19945562.92</v>
      </c>
      <c r="F38" s="2">
        <f t="shared" si="14"/>
        <v>20977600.88</v>
      </c>
      <c r="G38" s="2">
        <f t="shared" si="14"/>
        <v>22110154.06</v>
      </c>
      <c r="H38" s="2">
        <f t="shared" si="14"/>
        <v>23310631.27</v>
      </c>
      <c r="I38" s="2">
        <f t="shared" si="14"/>
        <v>24554847.61</v>
      </c>
      <c r="J38" s="2">
        <f t="shared" si="14"/>
        <v>25878020.2</v>
      </c>
      <c r="K38" s="2">
        <f t="shared" si="14"/>
        <v>27275138.53</v>
      </c>
      <c r="L38" s="2">
        <f t="shared" si="14"/>
        <v>28739322.79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103</v>
      </c>
      <c r="B39" s="10">
        <f t="shared" ref="B39:L39" si="15">B37*B32</f>
        <v>44779847.27</v>
      </c>
      <c r="C39" s="2">
        <f t="shared" si="15"/>
        <v>46769806.32</v>
      </c>
      <c r="D39" s="2">
        <f t="shared" si="15"/>
        <v>49275745.94</v>
      </c>
      <c r="E39" s="10">
        <f t="shared" si="15"/>
        <v>52092405.47</v>
      </c>
      <c r="F39" s="2">
        <f t="shared" si="15"/>
        <v>54787808.98</v>
      </c>
      <c r="G39" s="2">
        <f t="shared" si="15"/>
        <v>57745730.97</v>
      </c>
      <c r="H39" s="2">
        <f t="shared" si="15"/>
        <v>60881052.13</v>
      </c>
      <c r="I39" s="2">
        <f t="shared" si="15"/>
        <v>64130608.07</v>
      </c>
      <c r="J39" s="2">
        <f t="shared" si="15"/>
        <v>67586376.31</v>
      </c>
      <c r="K39" s="2">
        <f t="shared" si="15"/>
        <v>71235270.81</v>
      </c>
      <c r="L39" s="2">
        <f t="shared" si="15"/>
        <v>75059323.33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9" t="s">
        <v>104</v>
      </c>
      <c r="B40" s="60">
        <f t="shared" ref="B40:L40" si="16">SUM(B38:B39)</f>
        <v>61925518.56</v>
      </c>
      <c r="C40" s="60">
        <f t="shared" si="16"/>
        <v>64677409.28</v>
      </c>
      <c r="D40" s="61">
        <f t="shared" si="16"/>
        <v>68142843.4</v>
      </c>
      <c r="E40" s="60">
        <f t="shared" si="16"/>
        <v>72037968.39</v>
      </c>
      <c r="F40" s="61">
        <f t="shared" si="16"/>
        <v>75765409.86</v>
      </c>
      <c r="G40" s="61">
        <f t="shared" si="16"/>
        <v>79855885.03</v>
      </c>
      <c r="H40" s="61">
        <f t="shared" si="16"/>
        <v>84191683.4</v>
      </c>
      <c r="I40" s="61">
        <f t="shared" si="16"/>
        <v>88685455.69</v>
      </c>
      <c r="J40" s="61">
        <f t="shared" si="16"/>
        <v>93464396.5</v>
      </c>
      <c r="K40" s="61">
        <f t="shared" si="16"/>
        <v>98510409.35</v>
      </c>
      <c r="L40" s="61">
        <f t="shared" si="16"/>
        <v>103798646.1</v>
      </c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1" t="s">
        <v>37</v>
      </c>
      <c r="B41" s="10">
        <f t="shared" ref="B41:L41" si="17">B40*B28</f>
        <v>2328399.498</v>
      </c>
      <c r="C41" s="10">
        <f t="shared" si="17"/>
        <v>2729386.672</v>
      </c>
      <c r="D41" s="10">
        <f t="shared" si="17"/>
        <v>3025542.247</v>
      </c>
      <c r="E41" s="10">
        <f t="shared" si="17"/>
        <v>3212893.39</v>
      </c>
      <c r="F41" s="10">
        <f t="shared" si="17"/>
        <v>3333678.034</v>
      </c>
      <c r="G41" s="10">
        <f t="shared" si="17"/>
        <v>3401860.702</v>
      </c>
      <c r="H41" s="10">
        <f t="shared" si="17"/>
        <v>3670757.396</v>
      </c>
      <c r="I41" s="10">
        <f t="shared" si="17"/>
        <v>3884422.959</v>
      </c>
      <c r="J41" s="10">
        <f t="shared" si="17"/>
        <v>4084394.127</v>
      </c>
      <c r="K41" s="10">
        <f t="shared" si="17"/>
        <v>4285202.807</v>
      </c>
      <c r="L41" s="10">
        <f t="shared" si="17"/>
        <v>4504861.242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 t="s">
        <v>16</v>
      </c>
      <c r="B42" s="10">
        <f t="shared" ref="B42:L42" si="18">B40+B41</f>
        <v>64253918.06</v>
      </c>
      <c r="C42" s="10">
        <f t="shared" si="18"/>
        <v>67406795.96</v>
      </c>
      <c r="D42" s="10">
        <f t="shared" si="18"/>
        <v>71168385.65</v>
      </c>
      <c r="E42" s="10">
        <f t="shared" si="18"/>
        <v>75250861.78</v>
      </c>
      <c r="F42" s="10">
        <f t="shared" si="18"/>
        <v>79099087.89</v>
      </c>
      <c r="G42" s="10">
        <f t="shared" si="18"/>
        <v>83257745.73</v>
      </c>
      <c r="H42" s="10">
        <f t="shared" si="18"/>
        <v>87862440.8</v>
      </c>
      <c r="I42" s="10">
        <f t="shared" si="18"/>
        <v>92569878.65</v>
      </c>
      <c r="J42" s="10">
        <f t="shared" si="18"/>
        <v>97548790.63</v>
      </c>
      <c r="K42" s="10">
        <f t="shared" si="18"/>
        <v>102795612.2</v>
      </c>
      <c r="L42" s="10">
        <f t="shared" si="18"/>
        <v>108303507.4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 t="s">
        <v>38</v>
      </c>
      <c r="B43" s="10">
        <f t="shared" ref="B43:L43" si="19">B42-B29</f>
        <v>13564380.78</v>
      </c>
      <c r="C43" s="10">
        <f t="shared" si="19"/>
        <v>14073850</v>
      </c>
      <c r="D43" s="10">
        <f t="shared" si="19"/>
        <v>15016025.5</v>
      </c>
      <c r="E43" s="10">
        <f t="shared" si="19"/>
        <v>16009526.61</v>
      </c>
      <c r="F43" s="10">
        <f t="shared" si="19"/>
        <v>16695722.76</v>
      </c>
      <c r="G43" s="10">
        <f t="shared" si="19"/>
        <v>17504443.15</v>
      </c>
      <c r="H43" s="10">
        <f t="shared" si="19"/>
        <v>18559209.46</v>
      </c>
      <c r="I43" s="10">
        <f t="shared" si="19"/>
        <v>19546311.25</v>
      </c>
      <c r="J43" s="10">
        <f t="shared" si="19"/>
        <v>20597709.08</v>
      </c>
      <c r="K43" s="10">
        <f t="shared" si="19"/>
        <v>21697913.84</v>
      </c>
      <c r="L43" s="10">
        <f t="shared" si="19"/>
        <v>22844034.22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 t="s">
        <v>18</v>
      </c>
      <c r="B44" s="11">
        <f t="shared" ref="B44:L44" si="20">B43/B42</f>
        <v>0.2111058935</v>
      </c>
      <c r="C44" s="11">
        <f t="shared" si="20"/>
        <v>0.2087897785</v>
      </c>
      <c r="D44" s="11">
        <f t="shared" si="20"/>
        <v>0.21099292</v>
      </c>
      <c r="E44" s="11">
        <f t="shared" si="20"/>
        <v>0.2127487477</v>
      </c>
      <c r="F44" s="11">
        <f t="shared" si="20"/>
        <v>0.2110735181</v>
      </c>
      <c r="G44" s="11">
        <f t="shared" si="20"/>
        <v>0.2102440199</v>
      </c>
      <c r="H44" s="11">
        <f t="shared" si="20"/>
        <v>0.211230297</v>
      </c>
      <c r="I44" s="11">
        <f t="shared" si="20"/>
        <v>0.2111519593</v>
      </c>
      <c r="J44" s="11">
        <f t="shared" si="20"/>
        <v>0.2111528902</v>
      </c>
      <c r="K44" s="11">
        <f t="shared" si="20"/>
        <v>0.2110782103</v>
      </c>
      <c r="L44" s="11">
        <f t="shared" si="20"/>
        <v>0.2109260797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 t="s">
        <v>39</v>
      </c>
      <c r="B45" s="10">
        <f>0.5*B16+B40*(1-A49)</f>
        <v>8788393.033</v>
      </c>
      <c r="C45" s="10">
        <f t="shared" ref="C45:L45" si="21">B45+C40*(1-$A$49)</f>
        <v>12022263.5</v>
      </c>
      <c r="D45" s="10">
        <f t="shared" si="21"/>
        <v>15429405.67</v>
      </c>
      <c r="E45" s="10">
        <f t="shared" si="21"/>
        <v>19031304.09</v>
      </c>
      <c r="F45" s="10">
        <f t="shared" si="21"/>
        <v>22819574.58</v>
      </c>
      <c r="G45" s="10">
        <f t="shared" si="21"/>
        <v>26812368.83</v>
      </c>
      <c r="H45" s="10">
        <f t="shared" si="21"/>
        <v>31021953</v>
      </c>
      <c r="I45" s="10">
        <f t="shared" si="21"/>
        <v>35456225.79</v>
      </c>
      <c r="J45" s="10">
        <f t="shared" si="21"/>
        <v>40129445.61</v>
      </c>
      <c r="K45" s="10">
        <f t="shared" si="21"/>
        <v>45054966.08</v>
      </c>
      <c r="L45" s="10">
        <f t="shared" si="21"/>
        <v>50244898.38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 t="s">
        <v>40</v>
      </c>
      <c r="B46" s="10">
        <f>(0.5*B16+A49*B40)*(1+B28)</f>
        <v>66947362.87</v>
      </c>
      <c r="C46" s="10">
        <f t="shared" ref="C46:L46" si="22">(B46+C40*$A$49)*(1+C28)</f>
        <v>133808997.7</v>
      </c>
      <c r="D46" s="10">
        <f t="shared" si="22"/>
        <v>207360083.6</v>
      </c>
      <c r="E46" s="10">
        <f t="shared" si="22"/>
        <v>288096662</v>
      </c>
      <c r="F46" s="10">
        <f t="shared" si="22"/>
        <v>375917048.6</v>
      </c>
      <c r="G46" s="10">
        <f t="shared" si="22"/>
        <v>471025973.4</v>
      </c>
      <c r="H46" s="10">
        <f t="shared" si="22"/>
        <v>575032024.6</v>
      </c>
      <c r="I46" s="10">
        <f t="shared" si="22"/>
        <v>688159811.9</v>
      </c>
      <c r="J46" s="10">
        <f t="shared" si="22"/>
        <v>810903746.8</v>
      </c>
      <c r="K46" s="10">
        <f t="shared" si="22"/>
        <v>943833891.4</v>
      </c>
      <c r="L46" s="10">
        <f t="shared" si="22"/>
        <v>1087684614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5" t="s">
        <v>41</v>
      </c>
      <c r="B47" s="11">
        <f>(B46-B29-B16)/(B46+B40)</f>
        <v>0.03781704361</v>
      </c>
      <c r="C47" s="11">
        <f t="shared" ref="C47:L47" si="23">(C46-B46-C29)/(C40+C46-B46)</f>
        <v>0.1028492262</v>
      </c>
      <c r="D47" s="11">
        <f t="shared" si="23"/>
        <v>0.1227909043</v>
      </c>
      <c r="E47" s="11">
        <f t="shared" si="23"/>
        <v>0.1406991131</v>
      </c>
      <c r="F47" s="11">
        <f t="shared" si="23"/>
        <v>0.1553742564</v>
      </c>
      <c r="G47" s="11">
        <f t="shared" si="23"/>
        <v>0.1677801506</v>
      </c>
      <c r="H47" s="11">
        <f t="shared" si="23"/>
        <v>0.1843955239</v>
      </c>
      <c r="I47" s="11">
        <f t="shared" si="23"/>
        <v>0.1987194665</v>
      </c>
      <c r="J47" s="11">
        <f t="shared" si="23"/>
        <v>0.2117996704</v>
      </c>
      <c r="K47" s="11">
        <f t="shared" si="23"/>
        <v>0.2239557647</v>
      </c>
      <c r="L47" s="11">
        <f t="shared" si="23"/>
        <v>0.2357819444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>
        <v>0.95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3" t="s">
        <v>25</v>
      </c>
      <c r="C51" s="21">
        <v>2176.0</v>
      </c>
      <c r="D51" s="21">
        <v>2177.0</v>
      </c>
      <c r="E51" s="21">
        <v>2178.0</v>
      </c>
      <c r="F51" s="21">
        <v>2179.0</v>
      </c>
      <c r="G51" s="21">
        <v>2180.0</v>
      </c>
      <c r="H51" s="21">
        <v>2181.0</v>
      </c>
      <c r="I51" s="21">
        <v>2182.0</v>
      </c>
      <c r="J51" s="21">
        <v>2183.0</v>
      </c>
      <c r="K51" s="21">
        <v>2184.0</v>
      </c>
      <c r="L51" s="21">
        <v>2185.0</v>
      </c>
      <c r="M51" s="21">
        <v>2186.0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3" t="s">
        <v>46</v>
      </c>
      <c r="C52" s="7">
        <f>50689537.28/1000000</f>
        <v>50.68953728</v>
      </c>
      <c r="D52" s="7">
        <f>53332945.96/1000000</f>
        <v>53.33294596</v>
      </c>
      <c r="E52" s="7">
        <f>56152360.15/1000000</f>
        <v>56.15236015</v>
      </c>
      <c r="F52" s="7">
        <f>59241335.17/1000000</f>
        <v>59.24133517</v>
      </c>
      <c r="G52" s="7">
        <f>62403365.13/1000000</f>
        <v>62.40336513</v>
      </c>
      <c r="H52" s="7">
        <f>65753302.58/1000000</f>
        <v>65.75330258</v>
      </c>
      <c r="I52" s="7">
        <f>69303231.33/1000000</f>
        <v>69.30323133</v>
      </c>
      <c r="J52" s="7">
        <f>73023567.4/1000000</f>
        <v>73.0235674</v>
      </c>
      <c r="K52" s="7">
        <f>76951081.55/1000000</f>
        <v>76.95108155</v>
      </c>
      <c r="L52" s="7">
        <f>81097698.31/1000000</f>
        <v>81.09769831</v>
      </c>
      <c r="M52" s="7">
        <f>85459473.14/1000000</f>
        <v>85.45947314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3" t="s">
        <v>18</v>
      </c>
      <c r="C53" s="22">
        <v>0.2111</v>
      </c>
      <c r="D53" s="22">
        <v>0.2088</v>
      </c>
      <c r="E53" s="22">
        <v>0.211</v>
      </c>
      <c r="F53" s="22">
        <v>0.2127</v>
      </c>
      <c r="G53" s="22">
        <v>0.2111</v>
      </c>
      <c r="H53" s="22">
        <v>0.2102</v>
      </c>
      <c r="I53" s="22">
        <v>0.2112</v>
      </c>
      <c r="J53" s="22">
        <v>0.2112</v>
      </c>
      <c r="K53" s="22">
        <v>0.2112</v>
      </c>
      <c r="L53" s="22">
        <v>0.2111</v>
      </c>
      <c r="M53" s="22">
        <v>0.2109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29.11"/>
    <col customWidth="1" min="2" max="2" width="20.11"/>
    <col customWidth="1" min="3" max="3" width="20.78"/>
    <col customWidth="1" min="4" max="12" width="19.78"/>
    <col customWidth="1" min="13" max="13" width="20.33"/>
    <col customWidth="1" min="14" max="26" width="10.5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3" t="s">
        <v>0</v>
      </c>
      <c r="C3" s="3" t="s">
        <v>1</v>
      </c>
      <c r="D3" s="3" t="s">
        <v>2</v>
      </c>
      <c r="E3" s="4"/>
      <c r="F3" s="4"/>
      <c r="G3" s="2"/>
      <c r="H3" s="2"/>
      <c r="I3" s="2"/>
      <c r="J3" s="2"/>
      <c r="K3" s="2" t="s">
        <v>3</v>
      </c>
      <c r="L3" s="2" t="s">
        <v>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5</v>
      </c>
      <c r="B4" s="5">
        <v>33899.0</v>
      </c>
      <c r="C4" s="6">
        <v>0.12</v>
      </c>
      <c r="D4" s="6">
        <v>0.1</v>
      </c>
      <c r="E4" s="7"/>
      <c r="F4" s="7"/>
      <c r="G4" s="2"/>
      <c r="H4" s="2"/>
      <c r="I4" s="2"/>
      <c r="J4" s="2"/>
      <c r="K4" s="2" t="s">
        <v>6</v>
      </c>
      <c r="L4" s="2" t="s">
        <v>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/>
      <c r="B5" s="5"/>
      <c r="C5" s="6"/>
      <c r="D5" s="6"/>
      <c r="E5" s="7"/>
      <c r="F5" s="7"/>
      <c r="G5" s="2"/>
      <c r="H5" s="2"/>
      <c r="I5" s="2"/>
      <c r="J5" s="2"/>
      <c r="K5" s="2" t="s">
        <v>8</v>
      </c>
      <c r="L5" s="2" t="s">
        <v>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/>
      <c r="B6" s="5"/>
      <c r="C6" s="6"/>
      <c r="D6" s="6"/>
      <c r="E6" s="7"/>
      <c r="F6" s="7"/>
      <c r="G6" s="2"/>
      <c r="H6" s="2"/>
      <c r="I6" s="2"/>
      <c r="J6" s="2"/>
      <c r="K6" s="2" t="s">
        <v>10</v>
      </c>
      <c r="L6" s="2" t="s">
        <v>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>
        <v>2175.0</v>
      </c>
      <c r="B7" s="5"/>
      <c r="C7" s="8" t="s">
        <v>12</v>
      </c>
      <c r="D7" s="6"/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13</v>
      </c>
      <c r="B8" s="7">
        <f>B12/B4</f>
        <v>6335263.369</v>
      </c>
      <c r="C8" s="7"/>
      <c r="D8" s="6"/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14</v>
      </c>
      <c r="B9" s="7">
        <f>B8/(1-C4-D4)</f>
        <v>8122132.525</v>
      </c>
      <c r="C9" s="7">
        <f>B9*B4</f>
        <v>275332170450</v>
      </c>
      <c r="D9" s="6"/>
      <c r="E9" s="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/>
      <c r="B10" s="10"/>
      <c r="C10" s="1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15</v>
      </c>
      <c r="B12" s="10">
        <v>2.14759092951E11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16</v>
      </c>
      <c r="B13" s="10">
        <f>C9</f>
        <v>275332170450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17</v>
      </c>
      <c r="B14" s="10">
        <f>B13-B12</f>
        <v>60573077499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 t="s">
        <v>18</v>
      </c>
      <c r="B15" s="11">
        <f>B14/B13</f>
        <v>0.22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19</v>
      </c>
      <c r="B18" s="12" t="s">
        <v>20</v>
      </c>
      <c r="C18" s="1" t="s">
        <v>21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22</v>
      </c>
      <c r="B19" s="13">
        <v>0.25</v>
      </c>
      <c r="C19" s="14">
        <f t="shared" ref="C19:C21" si="1">B19/10</f>
        <v>0.025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23</v>
      </c>
      <c r="B20" s="13">
        <v>0.25</v>
      </c>
      <c r="C20" s="14">
        <f t="shared" si="1"/>
        <v>0.025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24</v>
      </c>
      <c r="B21" s="13">
        <v>0.15</v>
      </c>
      <c r="C21" s="14">
        <f t="shared" si="1"/>
        <v>0.015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3"/>
      <c r="C22" s="14">
        <f>AVERAGE(C19:C21)</f>
        <v>0.02166666667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25</v>
      </c>
      <c r="B24" s="15">
        <v>2176.0</v>
      </c>
      <c r="C24" s="15">
        <v>2177.0</v>
      </c>
      <c r="D24" s="15">
        <f t="shared" ref="D24:L24" si="2">C24+1</f>
        <v>2178</v>
      </c>
      <c r="E24" s="15">
        <f t="shared" si="2"/>
        <v>2179</v>
      </c>
      <c r="F24" s="15">
        <f t="shared" si="2"/>
        <v>2180</v>
      </c>
      <c r="G24" s="15">
        <f t="shared" si="2"/>
        <v>2181</v>
      </c>
      <c r="H24" s="15">
        <f t="shared" si="2"/>
        <v>2182</v>
      </c>
      <c r="I24" s="15">
        <f t="shared" si="2"/>
        <v>2183</v>
      </c>
      <c r="J24" s="15">
        <f t="shared" si="2"/>
        <v>2184</v>
      </c>
      <c r="K24" s="15">
        <f t="shared" si="2"/>
        <v>2185</v>
      </c>
      <c r="L24" s="15">
        <f t="shared" si="2"/>
        <v>2186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26</v>
      </c>
      <c r="B25" s="11">
        <v>0.0371</v>
      </c>
      <c r="C25" s="11">
        <v>0.0295</v>
      </c>
      <c r="D25" s="11">
        <v>0.0302</v>
      </c>
      <c r="E25" s="11">
        <v>0.0323</v>
      </c>
      <c r="F25" s="11">
        <v>0.0307</v>
      </c>
      <c r="G25" s="11">
        <v>0.031</v>
      </c>
      <c r="H25" s="11">
        <v>0.0313</v>
      </c>
      <c r="I25" s="11">
        <v>0.031</v>
      </c>
      <c r="J25" s="11">
        <v>0.0311</v>
      </c>
      <c r="K25" s="11">
        <v>0.0312</v>
      </c>
      <c r="L25" s="11">
        <v>0.0311</v>
      </c>
      <c r="M25" s="1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27</v>
      </c>
      <c r="B26" s="11">
        <v>0.0376</v>
      </c>
      <c r="C26" s="11">
        <v>0.0422</v>
      </c>
      <c r="D26" s="11">
        <v>0.0444</v>
      </c>
      <c r="E26" s="11">
        <v>0.0446</v>
      </c>
      <c r="F26" s="11">
        <v>0.044</v>
      </c>
      <c r="G26" s="11">
        <v>0.0426</v>
      </c>
      <c r="H26" s="11">
        <v>0.0436</v>
      </c>
      <c r="I26" s="11">
        <v>0.0438</v>
      </c>
      <c r="J26" s="11">
        <v>0.0437</v>
      </c>
      <c r="K26" s="11">
        <v>0.0435</v>
      </c>
      <c r="L26" s="11">
        <v>0.0434</v>
      </c>
      <c r="M26" s="1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46</v>
      </c>
      <c r="B27" s="10">
        <f>B12*(1+B25)*(1+2.2%)</f>
        <v>227626641716</v>
      </c>
      <c r="C27" s="10">
        <f t="shared" ref="C27:L27" si="3">B27*(1+C25)*(1+2.2%)</f>
        <v>239497143455</v>
      </c>
      <c r="D27" s="10">
        <f t="shared" si="3"/>
        <v>252158016245</v>
      </c>
      <c r="E27" s="10">
        <f t="shared" si="3"/>
        <v>266029380014</v>
      </c>
      <c r="F27" s="10">
        <f t="shared" si="3"/>
        <v>280228804584</v>
      </c>
      <c r="G27" s="10">
        <f t="shared" si="3"/>
        <v>295272047272</v>
      </c>
      <c r="H27" s="10">
        <f t="shared" si="3"/>
        <v>311213371723</v>
      </c>
      <c r="I27" s="10">
        <f t="shared" si="3"/>
        <v>327919927944</v>
      </c>
      <c r="J27" s="10">
        <f t="shared" si="3"/>
        <v>345556838932</v>
      </c>
      <c r="K27" s="10">
        <f t="shared" si="3"/>
        <v>364177652978</v>
      </c>
      <c r="L27" s="10">
        <f t="shared" si="3"/>
        <v>383764656701</v>
      </c>
      <c r="M27" s="1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32</v>
      </c>
      <c r="B28" s="2">
        <f>B4</f>
        <v>33899</v>
      </c>
      <c r="C28" s="2">
        <f t="shared" ref="C28:L28" si="4">B28*(1+0.5%)</f>
        <v>34068.495</v>
      </c>
      <c r="D28" s="2">
        <f t="shared" si="4"/>
        <v>34238.83748</v>
      </c>
      <c r="E28" s="2">
        <f t="shared" si="4"/>
        <v>34410.03166</v>
      </c>
      <c r="F28" s="2">
        <f t="shared" si="4"/>
        <v>34582.08182</v>
      </c>
      <c r="G28" s="2">
        <f t="shared" si="4"/>
        <v>34754.99223</v>
      </c>
      <c r="H28" s="2">
        <f t="shared" si="4"/>
        <v>34928.76719</v>
      </c>
      <c r="I28" s="2">
        <f t="shared" si="4"/>
        <v>35103.41103</v>
      </c>
      <c r="J28" s="2">
        <f t="shared" si="4"/>
        <v>35278.92808</v>
      </c>
      <c r="K28" s="2">
        <f t="shared" si="4"/>
        <v>35455.32272</v>
      </c>
      <c r="L28" s="2">
        <f t="shared" si="4"/>
        <v>35632.59934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33</v>
      </c>
      <c r="B29" s="10">
        <f t="shared" ref="B29:L29" si="5">(B27/B28)*(1+B25)</f>
        <v>6963969.147</v>
      </c>
      <c r="C29" s="10">
        <f t="shared" si="5"/>
        <v>7237252.752</v>
      </c>
      <c r="D29" s="10">
        <f t="shared" si="5"/>
        <v>7587091.37</v>
      </c>
      <c r="E29" s="10">
        <f t="shared" si="5"/>
        <v>7980874.057</v>
      </c>
      <c r="F29" s="10">
        <f t="shared" si="5"/>
        <v>8352065.974</v>
      </c>
      <c r="G29" s="10">
        <f t="shared" si="5"/>
        <v>8759187.133</v>
      </c>
      <c r="H29" s="10">
        <f t="shared" si="5"/>
        <v>9188825.603</v>
      </c>
      <c r="I29" s="10">
        <f t="shared" si="5"/>
        <v>9631128.025</v>
      </c>
      <c r="J29" s="10">
        <f t="shared" si="5"/>
        <v>10099616.85</v>
      </c>
      <c r="K29" s="10">
        <f t="shared" si="5"/>
        <v>10591921.52</v>
      </c>
      <c r="L29" s="10">
        <f t="shared" si="5"/>
        <v>11104992.2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34</v>
      </c>
      <c r="B30" s="17">
        <f t="shared" ref="B30:L30" si="6">(1-$C$4-$D$4)</f>
        <v>0.78</v>
      </c>
      <c r="C30" s="17">
        <f t="shared" si="6"/>
        <v>0.78</v>
      </c>
      <c r="D30" s="17">
        <f t="shared" si="6"/>
        <v>0.78</v>
      </c>
      <c r="E30" s="17">
        <f t="shared" si="6"/>
        <v>0.78</v>
      </c>
      <c r="F30" s="17">
        <f t="shared" si="6"/>
        <v>0.78</v>
      </c>
      <c r="G30" s="17">
        <f t="shared" si="6"/>
        <v>0.78</v>
      </c>
      <c r="H30" s="17">
        <f t="shared" si="6"/>
        <v>0.78</v>
      </c>
      <c r="I30" s="17">
        <f t="shared" si="6"/>
        <v>0.78</v>
      </c>
      <c r="J30" s="17">
        <f t="shared" si="6"/>
        <v>0.78</v>
      </c>
      <c r="K30" s="17">
        <f t="shared" si="6"/>
        <v>0.78</v>
      </c>
      <c r="L30" s="17">
        <f t="shared" si="6"/>
        <v>0.78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35</v>
      </c>
      <c r="B31" s="10">
        <f t="shared" ref="B31:L31" si="7">B29/B30</f>
        <v>8928165.573</v>
      </c>
      <c r="C31" s="10">
        <f t="shared" si="7"/>
        <v>9278529.169</v>
      </c>
      <c r="D31" s="10">
        <f t="shared" si="7"/>
        <v>9727040.218</v>
      </c>
      <c r="E31" s="10">
        <f t="shared" si="7"/>
        <v>10231889.82</v>
      </c>
      <c r="F31" s="10">
        <f t="shared" si="7"/>
        <v>10707776.89</v>
      </c>
      <c r="G31" s="10">
        <f t="shared" si="7"/>
        <v>11229727.09</v>
      </c>
      <c r="H31" s="10">
        <f t="shared" si="7"/>
        <v>11780545.65</v>
      </c>
      <c r="I31" s="10">
        <f t="shared" si="7"/>
        <v>12347600.03</v>
      </c>
      <c r="J31" s="10">
        <f t="shared" si="7"/>
        <v>12948226.73</v>
      </c>
      <c r="K31" s="10">
        <f t="shared" si="7"/>
        <v>13579386.56</v>
      </c>
      <c r="L31" s="10">
        <f t="shared" si="7"/>
        <v>14237169.48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36</v>
      </c>
      <c r="B32" s="10">
        <f t="shared" ref="B32:L32" si="8">B31*B28</f>
        <v>302655884774</v>
      </c>
      <c r="C32" s="10">
        <f t="shared" si="8"/>
        <v>316105524599</v>
      </c>
      <c r="D32" s="10">
        <f t="shared" si="8"/>
        <v>333042549149</v>
      </c>
      <c r="E32" s="10">
        <f t="shared" si="8"/>
        <v>352079652549</v>
      </c>
      <c r="F32" s="10">
        <f t="shared" si="8"/>
        <v>370297216519</v>
      </c>
      <c r="G32" s="10">
        <f t="shared" si="8"/>
        <v>390289077868</v>
      </c>
      <c r="H32" s="10">
        <f t="shared" si="8"/>
        <v>411479936228</v>
      </c>
      <c r="I32" s="10">
        <f t="shared" si="8"/>
        <v>433442879115</v>
      </c>
      <c r="J32" s="10">
        <f t="shared" si="8"/>
        <v>456799559773</v>
      </c>
      <c r="K32" s="10">
        <f t="shared" si="8"/>
        <v>481461533013</v>
      </c>
      <c r="L32" s="10">
        <f t="shared" si="8"/>
        <v>507307355800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37</v>
      </c>
      <c r="B33" s="10">
        <f t="shared" ref="B33:L33" si="9">B32*B26</f>
        <v>11379861268</v>
      </c>
      <c r="C33" s="10">
        <f t="shared" si="9"/>
        <v>13339653138</v>
      </c>
      <c r="D33" s="10">
        <f t="shared" si="9"/>
        <v>14787089182</v>
      </c>
      <c r="E33" s="10">
        <f t="shared" si="9"/>
        <v>15702752504</v>
      </c>
      <c r="F33" s="10">
        <f t="shared" si="9"/>
        <v>16293077527</v>
      </c>
      <c r="G33" s="10">
        <f t="shared" si="9"/>
        <v>16626314717</v>
      </c>
      <c r="H33" s="10">
        <f t="shared" si="9"/>
        <v>17940525220</v>
      </c>
      <c r="I33" s="10">
        <f t="shared" si="9"/>
        <v>18984798105</v>
      </c>
      <c r="J33" s="10">
        <f t="shared" si="9"/>
        <v>19962140762</v>
      </c>
      <c r="K33" s="10">
        <f t="shared" si="9"/>
        <v>20943576686</v>
      </c>
      <c r="L33" s="10">
        <f t="shared" si="9"/>
        <v>22017139242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16</v>
      </c>
      <c r="B34" s="10">
        <f t="shared" ref="B34:L34" si="10">B33+B32</f>
        <v>314035746042</v>
      </c>
      <c r="C34" s="10">
        <f t="shared" si="10"/>
        <v>329445177737</v>
      </c>
      <c r="D34" s="10">
        <f t="shared" si="10"/>
        <v>347829638331</v>
      </c>
      <c r="E34" s="10">
        <f t="shared" si="10"/>
        <v>367782405053</v>
      </c>
      <c r="F34" s="10">
        <f t="shared" si="10"/>
        <v>386590294045</v>
      </c>
      <c r="G34" s="10">
        <f t="shared" si="10"/>
        <v>406915392585</v>
      </c>
      <c r="H34" s="10">
        <f t="shared" si="10"/>
        <v>429420461447</v>
      </c>
      <c r="I34" s="10">
        <f t="shared" si="10"/>
        <v>452427677221</v>
      </c>
      <c r="J34" s="10">
        <f t="shared" si="10"/>
        <v>476761700535</v>
      </c>
      <c r="K34" s="10">
        <f t="shared" si="10"/>
        <v>502405109700</v>
      </c>
      <c r="L34" s="10">
        <f t="shared" si="10"/>
        <v>529324495042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38</v>
      </c>
      <c r="B35" s="10">
        <f t="shared" ref="B35:L35" si="11">B34-B27</f>
        <v>86409104325</v>
      </c>
      <c r="C35" s="10">
        <f t="shared" si="11"/>
        <v>89948034282</v>
      </c>
      <c r="D35" s="10">
        <f t="shared" si="11"/>
        <v>95671622086</v>
      </c>
      <c r="E35" s="10">
        <f t="shared" si="11"/>
        <v>101753025039</v>
      </c>
      <c r="F35" s="10">
        <f t="shared" si="11"/>
        <v>106361489462</v>
      </c>
      <c r="G35" s="10">
        <f t="shared" si="11"/>
        <v>111643345314</v>
      </c>
      <c r="H35" s="10">
        <f t="shared" si="11"/>
        <v>118207089725</v>
      </c>
      <c r="I35" s="10">
        <f t="shared" si="11"/>
        <v>124507749277</v>
      </c>
      <c r="J35" s="10">
        <f t="shared" si="11"/>
        <v>131204861603</v>
      </c>
      <c r="K35" s="10">
        <f t="shared" si="11"/>
        <v>138227456722</v>
      </c>
      <c r="L35" s="10">
        <f t="shared" si="11"/>
        <v>145559838341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18</v>
      </c>
      <c r="B36" s="11">
        <f t="shared" ref="B36:L36" si="12">B35/B34</f>
        <v>0.2751569062</v>
      </c>
      <c r="C36" s="11">
        <f t="shared" si="12"/>
        <v>0.2730288387</v>
      </c>
      <c r="D36" s="11">
        <f t="shared" si="12"/>
        <v>0.2750531051</v>
      </c>
      <c r="E36" s="11">
        <f t="shared" si="12"/>
        <v>0.2766663757</v>
      </c>
      <c r="F36" s="11">
        <f t="shared" si="12"/>
        <v>0.2751271594</v>
      </c>
      <c r="G36" s="11">
        <f t="shared" si="12"/>
        <v>0.2743650089</v>
      </c>
      <c r="H36" s="11">
        <f t="shared" si="12"/>
        <v>0.2752712093</v>
      </c>
      <c r="I36" s="11">
        <f t="shared" si="12"/>
        <v>0.2751992319</v>
      </c>
      <c r="J36" s="11">
        <f t="shared" si="12"/>
        <v>0.2752000873</v>
      </c>
      <c r="K36" s="11">
        <f t="shared" si="12"/>
        <v>0.2751314707</v>
      </c>
      <c r="L36" s="11">
        <f t="shared" si="12"/>
        <v>0.2749916917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39</v>
      </c>
      <c r="B37" s="10">
        <f>(B14*0.5+B32*(1-A44))</f>
        <v>45419332988</v>
      </c>
      <c r="C37" s="10">
        <f t="shared" ref="C37:L37" si="13">B37+0.05*C32</f>
        <v>61224609218</v>
      </c>
      <c r="D37" s="10">
        <f t="shared" si="13"/>
        <v>77876736676</v>
      </c>
      <c r="E37" s="10">
        <f t="shared" si="13"/>
        <v>95480719303</v>
      </c>
      <c r="F37" s="10">
        <f t="shared" si="13"/>
        <v>113995580129</v>
      </c>
      <c r="G37" s="10">
        <f t="shared" si="13"/>
        <v>133510034022</v>
      </c>
      <c r="H37" s="10">
        <f t="shared" si="13"/>
        <v>154084030834</v>
      </c>
      <c r="I37" s="10">
        <f t="shared" si="13"/>
        <v>175756174790</v>
      </c>
      <c r="J37" s="10">
        <f t="shared" si="13"/>
        <v>198596152778</v>
      </c>
      <c r="K37" s="10">
        <f t="shared" si="13"/>
        <v>222669229429</v>
      </c>
      <c r="L37" s="10">
        <f t="shared" si="13"/>
        <v>248034597219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40</v>
      </c>
      <c r="B38" s="10">
        <f>(0.5*B14+A44*B32)*(1+B26)</f>
        <v>329759271346</v>
      </c>
      <c r="C38" s="10">
        <f t="shared" ref="C38:L38" si="14">(B38+0.95*C32)*(1+C26)</f>
        <v>656648031446</v>
      </c>
      <c r="D38" s="10">
        <f t="shared" si="14"/>
        <v>1016241360457</v>
      </c>
      <c r="E38" s="10">
        <f t="shared" si="14"/>
        <v>1410959009934</v>
      </c>
      <c r="F38" s="10">
        <f t="shared" si="14"/>
        <v>1840301985714</v>
      </c>
      <c r="G38" s="10">
        <f t="shared" si="14"/>
        <v>2305268473261</v>
      </c>
      <c r="H38" s="10">
        <f t="shared" si="14"/>
        <v>2813727617070</v>
      </c>
      <c r="I38" s="10">
        <f t="shared" si="14"/>
        <v>3366775180057</v>
      </c>
      <c r="J38" s="10">
        <f t="shared" si="14"/>
        <v>3966826870934</v>
      </c>
      <c r="K38" s="10">
        <f t="shared" si="14"/>
        <v>4616668694035</v>
      </c>
      <c r="L38" s="10">
        <f t="shared" si="14"/>
        <v>5319890385646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41</v>
      </c>
      <c r="B39" s="18">
        <f>(B38-B14-B27)/(B38+B32)</f>
        <v>0.06571561692</v>
      </c>
      <c r="C39" s="11">
        <f t="shared" ref="C39:L39" si="15">(C38-B38-C27)/(C32+C38-B38)</f>
        <v>0.1359135201</v>
      </c>
      <c r="D39" s="11">
        <f t="shared" si="15"/>
        <v>0.155110811</v>
      </c>
      <c r="E39" s="11">
        <f t="shared" si="15"/>
        <v>0.1723202121</v>
      </c>
      <c r="F39" s="11">
        <f t="shared" si="15"/>
        <v>0.1864765836</v>
      </c>
      <c r="G39" s="11">
        <f t="shared" si="15"/>
        <v>0.1984137223</v>
      </c>
      <c r="H39" s="11">
        <f t="shared" si="15"/>
        <v>0.2144117761</v>
      </c>
      <c r="I39" s="11">
        <f t="shared" si="15"/>
        <v>0.2282106602</v>
      </c>
      <c r="J39" s="11">
        <f t="shared" si="15"/>
        <v>0.240804798</v>
      </c>
      <c r="K39" s="11">
        <f t="shared" si="15"/>
        <v>0.2525089036</v>
      </c>
      <c r="L39" s="11">
        <f t="shared" si="15"/>
        <v>0.2638986942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 t="s">
        <v>25</v>
      </c>
      <c r="C40" s="21">
        <v>2176.0</v>
      </c>
      <c r="D40" s="21">
        <v>2177.0</v>
      </c>
      <c r="E40" s="21">
        <v>2178.0</v>
      </c>
      <c r="F40" s="21">
        <v>2179.0</v>
      </c>
      <c r="G40" s="21">
        <v>2180.0</v>
      </c>
      <c r="H40" s="21">
        <v>2181.0</v>
      </c>
      <c r="I40" s="21">
        <v>2182.0</v>
      </c>
      <c r="J40" s="21">
        <v>2183.0</v>
      </c>
      <c r="K40" s="21">
        <v>2184.0</v>
      </c>
      <c r="L40" s="21">
        <v>2185.0</v>
      </c>
      <c r="M40" s="21">
        <v>2186.0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3" t="s">
        <v>46</v>
      </c>
      <c r="C41" s="7">
        <f>227626641716.07/1000000000</f>
        <v>227.6266417</v>
      </c>
      <c r="D41" s="7">
        <f>239497143454.92/1000000000</f>
        <v>239.4971435</v>
      </c>
      <c r="E41" s="7">
        <f>252158016245.38/1000000000</f>
        <v>252.1580162</v>
      </c>
      <c r="F41" s="7">
        <f>266029380013.85/1000000000</f>
        <v>266.02938</v>
      </c>
      <c r="G41" s="7">
        <f>280228804583.84/1000000000</f>
        <v>280.2288046</v>
      </c>
      <c r="H41" s="7">
        <f>295272047271.51/1000000000</f>
        <v>295.2720473</v>
      </c>
      <c r="I41" s="7">
        <f>311213371722.83/1000000000</f>
        <v>311.2133717</v>
      </c>
      <c r="J41" s="7">
        <f>327919927943.66/1000000000</f>
        <v>327.9199279</v>
      </c>
      <c r="K41" s="7">
        <f>345556838932.16/1000000000</f>
        <v>345.5568389</v>
      </c>
      <c r="L41" s="7">
        <f>364177652977.6/1000000000</f>
        <v>364.177653</v>
      </c>
      <c r="M41" s="7">
        <f>383764656700.88/1000000000</f>
        <v>383.7646567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3" t="s">
        <v>18</v>
      </c>
      <c r="C42" s="22">
        <v>0.2752</v>
      </c>
      <c r="D42" s="22">
        <v>0.273</v>
      </c>
      <c r="E42" s="22">
        <v>0.2751</v>
      </c>
      <c r="F42" s="22">
        <v>0.2767</v>
      </c>
      <c r="G42" s="22">
        <v>0.2751</v>
      </c>
      <c r="H42" s="22">
        <v>0.2744</v>
      </c>
      <c r="I42" s="22">
        <v>0.2753</v>
      </c>
      <c r="J42" s="22">
        <v>0.2752</v>
      </c>
      <c r="K42" s="22">
        <v>0.2752</v>
      </c>
      <c r="L42" s="22">
        <v>0.2751</v>
      </c>
      <c r="M42" s="22">
        <v>0.275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>
        <v>0.95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29.67"/>
    <col customWidth="1" min="2" max="2" width="20.11"/>
    <col customWidth="1" min="3" max="3" width="20.78"/>
    <col customWidth="1" min="4" max="8" width="19.78"/>
    <col customWidth="1" min="9" max="9" width="21.33"/>
    <col customWidth="1" min="10" max="10" width="24.11"/>
    <col customWidth="1" min="11" max="11" width="23.67"/>
    <col customWidth="1" min="12" max="12" width="25.11"/>
    <col customWidth="1" min="13" max="13" width="24.67"/>
    <col customWidth="1" min="14" max="26" width="10.5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3" t="s">
        <v>0</v>
      </c>
      <c r="C3" s="3" t="s">
        <v>1</v>
      </c>
      <c r="D3" s="3" t="s">
        <v>2</v>
      </c>
      <c r="E3" s="4"/>
      <c r="F3" s="4"/>
      <c r="G3" s="2"/>
      <c r="H3" s="2"/>
      <c r="I3" s="2"/>
      <c r="J3" s="2"/>
      <c r="K3" s="2" t="s">
        <v>3</v>
      </c>
      <c r="L3" s="2" t="s">
        <v>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5</v>
      </c>
      <c r="B4" s="5">
        <v>8383834.0</v>
      </c>
      <c r="C4" s="6">
        <v>0.04</v>
      </c>
      <c r="D4" s="6">
        <v>0.1</v>
      </c>
      <c r="E4" s="7"/>
      <c r="F4" s="7"/>
      <c r="G4" s="2"/>
      <c r="H4" s="2"/>
      <c r="I4" s="2"/>
      <c r="J4" s="2"/>
      <c r="K4" s="2" t="s">
        <v>6</v>
      </c>
      <c r="L4" s="2" t="s">
        <v>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/>
      <c r="B5" s="5"/>
      <c r="C5" s="6"/>
      <c r="D5" s="6"/>
      <c r="E5" s="7"/>
      <c r="F5" s="7"/>
      <c r="G5" s="2"/>
      <c r="H5" s="2"/>
      <c r="I5" s="2"/>
      <c r="J5" s="2"/>
      <c r="K5" s="2" t="s">
        <v>8</v>
      </c>
      <c r="L5" s="2" t="s">
        <v>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/>
      <c r="B6" s="5"/>
      <c r="C6" s="6"/>
      <c r="D6" s="6"/>
      <c r="E6" s="7"/>
      <c r="F6" s="7"/>
      <c r="G6" s="2"/>
      <c r="H6" s="2"/>
      <c r="I6" s="2"/>
      <c r="J6" s="2"/>
      <c r="K6" s="2" t="s">
        <v>10</v>
      </c>
      <c r="L6" s="2" t="s">
        <v>11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>
        <v>2175.0</v>
      </c>
      <c r="B7" s="5"/>
      <c r="C7" s="8" t="s">
        <v>12</v>
      </c>
      <c r="D7" s="6"/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13</v>
      </c>
      <c r="B8" s="7">
        <f>B12/B4</f>
        <v>969.8436044</v>
      </c>
      <c r="C8" s="7"/>
      <c r="D8" s="6"/>
      <c r="E8" s="7"/>
      <c r="F8" s="9">
        <v>0.051006368421052765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14</v>
      </c>
      <c r="B9" s="7">
        <f>B8/(1-C4-D4)</f>
        <v>1127.725121</v>
      </c>
      <c r="C9" s="7">
        <f>B9*B4</f>
        <v>9454660215</v>
      </c>
      <c r="D9" s="6"/>
      <c r="E9" s="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/>
      <c r="B10" s="10"/>
      <c r="C10" s="1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15</v>
      </c>
      <c r="B12" s="10">
        <v>8.131007785E9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16</v>
      </c>
      <c r="B13" s="10">
        <f>C9</f>
        <v>9454660215</v>
      </c>
      <c r="C13" s="10">
        <f>B13*F8</f>
        <v>482247882.2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17</v>
      </c>
      <c r="B14" s="10">
        <f>(B13+C13)-B12</f>
        <v>1805900312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 t="s">
        <v>18</v>
      </c>
      <c r="B15" s="11">
        <f>B14/B13</f>
        <v>0.1910063684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19</v>
      </c>
      <c r="B18" s="12" t="s">
        <v>20</v>
      </c>
      <c r="C18" s="1" t="s">
        <v>21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22</v>
      </c>
      <c r="B19" s="13">
        <v>0.25</v>
      </c>
      <c r="C19" s="14">
        <f t="shared" ref="C19:C21" si="1">B19/10</f>
        <v>0.025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23</v>
      </c>
      <c r="B20" s="13">
        <v>0.25</v>
      </c>
      <c r="C20" s="14">
        <f t="shared" si="1"/>
        <v>0.025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24</v>
      </c>
      <c r="B21" s="13">
        <v>0.15</v>
      </c>
      <c r="C21" s="14">
        <f t="shared" si="1"/>
        <v>0.015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3"/>
      <c r="C22" s="14">
        <f>AVERAGE(C19:C21)</f>
        <v>0.02166666667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25</v>
      </c>
      <c r="B24" s="15">
        <v>2176.0</v>
      </c>
      <c r="C24" s="15">
        <v>2177.0</v>
      </c>
      <c r="D24" s="15">
        <f t="shared" ref="D24:L24" si="2">C24+1</f>
        <v>2178</v>
      </c>
      <c r="E24" s="15">
        <f t="shared" si="2"/>
        <v>2179</v>
      </c>
      <c r="F24" s="15">
        <f t="shared" si="2"/>
        <v>2180</v>
      </c>
      <c r="G24" s="15">
        <f t="shared" si="2"/>
        <v>2181</v>
      </c>
      <c r="H24" s="15">
        <f t="shared" si="2"/>
        <v>2182</v>
      </c>
      <c r="I24" s="15">
        <f t="shared" si="2"/>
        <v>2183</v>
      </c>
      <c r="J24" s="15">
        <f t="shared" si="2"/>
        <v>2184</v>
      </c>
      <c r="K24" s="15">
        <f t="shared" si="2"/>
        <v>2185</v>
      </c>
      <c r="L24" s="15">
        <f t="shared" si="2"/>
        <v>2186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26</v>
      </c>
      <c r="B25" s="11">
        <v>0.0371</v>
      </c>
      <c r="C25" s="11">
        <v>0.0295</v>
      </c>
      <c r="D25" s="11">
        <v>0.0302</v>
      </c>
      <c r="E25" s="11">
        <v>0.0323</v>
      </c>
      <c r="F25" s="11">
        <v>0.0307</v>
      </c>
      <c r="G25" s="11">
        <v>0.031</v>
      </c>
      <c r="H25" s="11">
        <v>0.0313</v>
      </c>
      <c r="I25" s="11">
        <v>0.031</v>
      </c>
      <c r="J25" s="11">
        <v>0.0311</v>
      </c>
      <c r="K25" s="11">
        <v>0.0312</v>
      </c>
      <c r="L25" s="11">
        <v>0.0311</v>
      </c>
      <c r="M25" s="1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27</v>
      </c>
      <c r="B26" s="11">
        <v>0.0376</v>
      </c>
      <c r="C26" s="11">
        <v>0.0422</v>
      </c>
      <c r="D26" s="11">
        <v>0.0444</v>
      </c>
      <c r="E26" s="11">
        <v>0.0446</v>
      </c>
      <c r="F26" s="11">
        <v>0.044</v>
      </c>
      <c r="G26" s="11">
        <v>0.0426</v>
      </c>
      <c r="H26" s="11">
        <v>0.0436</v>
      </c>
      <c r="I26" s="11">
        <v>0.0438</v>
      </c>
      <c r="J26" s="11">
        <v>0.0437</v>
      </c>
      <c r="K26" s="11">
        <v>0.0435</v>
      </c>
      <c r="L26" s="11">
        <v>0.0434</v>
      </c>
      <c r="M26" s="1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46</v>
      </c>
      <c r="B27" s="10">
        <f>B12*(1+B25)*(1+2.2%)</f>
        <v>8618186874</v>
      </c>
      <c r="C27" s="10">
        <f t="shared" ref="C27:L27" si="3">B27*(1+C25)*(1+2.2%)</f>
        <v>9067616701</v>
      </c>
      <c r="D27" s="10">
        <f t="shared" si="3"/>
        <v>9546970817</v>
      </c>
      <c r="E27" s="10">
        <f t="shared" si="3"/>
        <v>10072155410</v>
      </c>
      <c r="F27" s="10">
        <f t="shared" si="3"/>
        <v>10609760734</v>
      </c>
      <c r="G27" s="10">
        <f t="shared" si="3"/>
        <v>11179313910</v>
      </c>
      <c r="H27" s="10">
        <f t="shared" si="3"/>
        <v>11782869417</v>
      </c>
      <c r="I27" s="10">
        <f t="shared" si="3"/>
        <v>12415397413</v>
      </c>
      <c r="J27" s="10">
        <f t="shared" si="3"/>
        <v>13083149630</v>
      </c>
      <c r="K27" s="10">
        <f t="shared" si="3"/>
        <v>13788153464</v>
      </c>
      <c r="L27" s="10">
        <f t="shared" si="3"/>
        <v>14529738268</v>
      </c>
      <c r="M27" s="1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32</v>
      </c>
      <c r="B28" s="2">
        <f>B4</f>
        <v>8383834</v>
      </c>
      <c r="C28" s="2">
        <f t="shared" ref="C28:L28" si="4">B28*(1+0.5%)</f>
        <v>8425753.17</v>
      </c>
      <c r="D28" s="2">
        <f t="shared" si="4"/>
        <v>8467881.936</v>
      </c>
      <c r="E28" s="2">
        <f t="shared" si="4"/>
        <v>8510221.346</v>
      </c>
      <c r="F28" s="2">
        <f t="shared" si="4"/>
        <v>8552772.452</v>
      </c>
      <c r="G28" s="2">
        <f t="shared" si="4"/>
        <v>8595536.315</v>
      </c>
      <c r="H28" s="2">
        <f t="shared" si="4"/>
        <v>8638513.996</v>
      </c>
      <c r="I28" s="2">
        <f t="shared" si="4"/>
        <v>8681706.566</v>
      </c>
      <c r="J28" s="2">
        <f t="shared" si="4"/>
        <v>8725115.099</v>
      </c>
      <c r="K28" s="2">
        <f t="shared" si="4"/>
        <v>8768740.674</v>
      </c>
      <c r="L28" s="2">
        <f t="shared" si="4"/>
        <v>8812584.378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33</v>
      </c>
      <c r="B29" s="10">
        <f t="shared" ref="B29:L29" si="5">(B27/B28)*(1+B25)</f>
        <v>1066.090002</v>
      </c>
      <c r="C29" s="10">
        <f t="shared" si="5"/>
        <v>1107.926046</v>
      </c>
      <c r="D29" s="10">
        <f t="shared" si="5"/>
        <v>1161.481633</v>
      </c>
      <c r="E29" s="10">
        <f t="shared" si="5"/>
        <v>1221.764465</v>
      </c>
      <c r="F29" s="10">
        <f t="shared" si="5"/>
        <v>1278.588955</v>
      </c>
      <c r="G29" s="10">
        <f t="shared" si="5"/>
        <v>1340.913728</v>
      </c>
      <c r="H29" s="10">
        <f t="shared" si="5"/>
        <v>1406.685598</v>
      </c>
      <c r="I29" s="10">
        <f t="shared" si="5"/>
        <v>1474.39615</v>
      </c>
      <c r="J29" s="10">
        <f t="shared" si="5"/>
        <v>1546.115487</v>
      </c>
      <c r="K29" s="10">
        <f t="shared" si="5"/>
        <v>1621.48071</v>
      </c>
      <c r="L29" s="10">
        <f t="shared" si="5"/>
        <v>1700.024929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34</v>
      </c>
      <c r="B30" s="17">
        <f t="shared" ref="B30:L30" si="6">(1-$C$4-$D$4)</f>
        <v>0.86</v>
      </c>
      <c r="C30" s="17">
        <f t="shared" si="6"/>
        <v>0.86</v>
      </c>
      <c r="D30" s="17">
        <f t="shared" si="6"/>
        <v>0.86</v>
      </c>
      <c r="E30" s="17">
        <f t="shared" si="6"/>
        <v>0.86</v>
      </c>
      <c r="F30" s="17">
        <f t="shared" si="6"/>
        <v>0.86</v>
      </c>
      <c r="G30" s="17">
        <f t="shared" si="6"/>
        <v>0.86</v>
      </c>
      <c r="H30" s="17">
        <f t="shared" si="6"/>
        <v>0.86</v>
      </c>
      <c r="I30" s="17">
        <f t="shared" si="6"/>
        <v>0.86</v>
      </c>
      <c r="J30" s="17">
        <f t="shared" si="6"/>
        <v>0.86</v>
      </c>
      <c r="K30" s="17">
        <f t="shared" si="6"/>
        <v>0.86</v>
      </c>
      <c r="L30" s="17">
        <f t="shared" si="6"/>
        <v>0.86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35</v>
      </c>
      <c r="B31" s="10">
        <f t="shared" ref="B31:L31" si="7">B29/B30</f>
        <v>1239.639537</v>
      </c>
      <c r="C31" s="10">
        <f t="shared" si="7"/>
        <v>1288.2861</v>
      </c>
      <c r="D31" s="10">
        <f t="shared" si="7"/>
        <v>1350.560038</v>
      </c>
      <c r="E31" s="10">
        <f t="shared" si="7"/>
        <v>1420.656355</v>
      </c>
      <c r="F31" s="10">
        <f t="shared" si="7"/>
        <v>1486.731343</v>
      </c>
      <c r="G31" s="10">
        <f t="shared" si="7"/>
        <v>1559.202009</v>
      </c>
      <c r="H31" s="10">
        <f t="shared" si="7"/>
        <v>1635.680928</v>
      </c>
      <c r="I31" s="10">
        <f t="shared" si="7"/>
        <v>1714.414127</v>
      </c>
      <c r="J31" s="10">
        <f t="shared" si="7"/>
        <v>1797.808706</v>
      </c>
      <c r="K31" s="10">
        <f t="shared" si="7"/>
        <v>1885.442686</v>
      </c>
      <c r="L31" s="10">
        <f t="shared" si="7"/>
        <v>1976.773173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36</v>
      </c>
      <c r="B32" s="10">
        <f t="shared" ref="B32:L32" si="8">B31*B28</f>
        <v>10392932101</v>
      </c>
      <c r="C32" s="10">
        <f t="shared" si="8"/>
        <v>10854780690</v>
      </c>
      <c r="D32" s="10">
        <f t="shared" si="8"/>
        <v>11436382949</v>
      </c>
      <c r="E32" s="10">
        <f t="shared" si="8"/>
        <v>12090100035</v>
      </c>
      <c r="F32" s="10">
        <f t="shared" si="8"/>
        <v>12715674870</v>
      </c>
      <c r="G32" s="10">
        <f t="shared" si="8"/>
        <v>13402177489</v>
      </c>
      <c r="H32" s="10">
        <f t="shared" si="8"/>
        <v>14129852592</v>
      </c>
      <c r="I32" s="10">
        <f t="shared" si="8"/>
        <v>14884040387</v>
      </c>
      <c r="J32" s="10">
        <f t="shared" si="8"/>
        <v>15686087888</v>
      </c>
      <c r="K32" s="10">
        <f t="shared" si="8"/>
        <v>16532957968</v>
      </c>
      <c r="L32" s="10">
        <f t="shared" si="8"/>
        <v>17420480382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37</v>
      </c>
      <c r="B33" s="10">
        <f t="shared" ref="B33:L33" si="9">B32*B26</f>
        <v>390774247</v>
      </c>
      <c r="C33" s="10">
        <f t="shared" si="9"/>
        <v>458071745.1</v>
      </c>
      <c r="D33" s="10">
        <f t="shared" si="9"/>
        <v>507775402.9</v>
      </c>
      <c r="E33" s="10">
        <f t="shared" si="9"/>
        <v>539218461.5</v>
      </c>
      <c r="F33" s="10">
        <f t="shared" si="9"/>
        <v>559489694.3</v>
      </c>
      <c r="G33" s="10">
        <f t="shared" si="9"/>
        <v>570932761</v>
      </c>
      <c r="H33" s="10">
        <f t="shared" si="9"/>
        <v>616061573</v>
      </c>
      <c r="I33" s="10">
        <f t="shared" si="9"/>
        <v>651920968.9</v>
      </c>
      <c r="J33" s="10">
        <f t="shared" si="9"/>
        <v>685482040.7</v>
      </c>
      <c r="K33" s="10">
        <f t="shared" si="9"/>
        <v>719183671.6</v>
      </c>
      <c r="L33" s="10">
        <f t="shared" si="9"/>
        <v>756048848.6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16</v>
      </c>
      <c r="B34" s="10">
        <f t="shared" ref="B34:L34" si="10">B33+B32</f>
        <v>10783706348</v>
      </c>
      <c r="C34" s="10">
        <f t="shared" si="10"/>
        <v>11312852435</v>
      </c>
      <c r="D34" s="10">
        <f t="shared" si="10"/>
        <v>11944158352</v>
      </c>
      <c r="E34" s="10">
        <f t="shared" si="10"/>
        <v>12629318496</v>
      </c>
      <c r="F34" s="10">
        <f t="shared" si="10"/>
        <v>13275164565</v>
      </c>
      <c r="G34" s="10">
        <f t="shared" si="10"/>
        <v>13973110250</v>
      </c>
      <c r="H34" s="10">
        <f t="shared" si="10"/>
        <v>14745914165</v>
      </c>
      <c r="I34" s="10">
        <f t="shared" si="10"/>
        <v>15535961355</v>
      </c>
      <c r="J34" s="10">
        <f t="shared" si="10"/>
        <v>16371569929</v>
      </c>
      <c r="K34" s="10">
        <f t="shared" si="10"/>
        <v>17252141640</v>
      </c>
      <c r="L34" s="10">
        <f t="shared" si="10"/>
        <v>18176529230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38</v>
      </c>
      <c r="B35" s="10">
        <f t="shared" ref="B35:L35" si="11">B34-B27</f>
        <v>2165519474</v>
      </c>
      <c r="C35" s="10">
        <f t="shared" si="11"/>
        <v>2245235734</v>
      </c>
      <c r="D35" s="10">
        <f t="shared" si="11"/>
        <v>2397187534</v>
      </c>
      <c r="E35" s="10">
        <f t="shared" si="11"/>
        <v>2557163086</v>
      </c>
      <c r="F35" s="10">
        <f t="shared" si="11"/>
        <v>2665403831</v>
      </c>
      <c r="G35" s="10">
        <f t="shared" si="11"/>
        <v>2793796341</v>
      </c>
      <c r="H35" s="10">
        <f t="shared" si="11"/>
        <v>2963044749</v>
      </c>
      <c r="I35" s="10">
        <f t="shared" si="11"/>
        <v>3120563943</v>
      </c>
      <c r="J35" s="10">
        <f t="shared" si="11"/>
        <v>3288420299</v>
      </c>
      <c r="K35" s="10">
        <f t="shared" si="11"/>
        <v>3463988175</v>
      </c>
      <c r="L35" s="10">
        <f t="shared" si="11"/>
        <v>3646790962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18</v>
      </c>
      <c r="B36" s="11">
        <f t="shared" ref="B36:L36" si="12">B35/B34</f>
        <v>0.2008140248</v>
      </c>
      <c r="C36" s="11">
        <f t="shared" si="12"/>
        <v>0.1984676939</v>
      </c>
      <c r="D36" s="11">
        <f t="shared" si="12"/>
        <v>0.2006995775</v>
      </c>
      <c r="E36" s="11">
        <f t="shared" si="12"/>
        <v>0.2024783116</v>
      </c>
      <c r="F36" s="11">
        <f t="shared" si="12"/>
        <v>0.2007812271</v>
      </c>
      <c r="G36" s="11">
        <f t="shared" si="12"/>
        <v>0.1999409073</v>
      </c>
      <c r="H36" s="11">
        <f t="shared" si="12"/>
        <v>0.2009400513</v>
      </c>
      <c r="I36" s="11">
        <f t="shared" si="12"/>
        <v>0.2008606916</v>
      </c>
      <c r="J36" s="11">
        <f t="shared" si="12"/>
        <v>0.2008616347</v>
      </c>
      <c r="K36" s="11">
        <f t="shared" si="12"/>
        <v>0.2007859805</v>
      </c>
      <c r="L36" s="11">
        <f t="shared" si="12"/>
        <v>0.2006318652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39</v>
      </c>
      <c r="B37" s="10">
        <f>(B14*0.5+B32*(1-A44))</f>
        <v>1422596761</v>
      </c>
      <c r="C37" s="10">
        <f t="shared" ref="C37:L37" si="13">B37+0.05*C32</f>
        <v>1965335796</v>
      </c>
      <c r="D37" s="10">
        <f t="shared" si="13"/>
        <v>2537154943</v>
      </c>
      <c r="E37" s="10">
        <f t="shared" si="13"/>
        <v>3141659945</v>
      </c>
      <c r="F37" s="10">
        <f t="shared" si="13"/>
        <v>3777443688</v>
      </c>
      <c r="G37" s="10">
        <f t="shared" si="13"/>
        <v>4447552563</v>
      </c>
      <c r="H37" s="10">
        <f t="shared" si="13"/>
        <v>5154045192</v>
      </c>
      <c r="I37" s="10">
        <f t="shared" si="13"/>
        <v>5898247212</v>
      </c>
      <c r="J37" s="10">
        <f t="shared" si="13"/>
        <v>6682551606</v>
      </c>
      <c r="K37" s="10">
        <f t="shared" si="13"/>
        <v>7509199505</v>
      </c>
      <c r="L37" s="10">
        <f t="shared" si="13"/>
        <v>8380223524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40</v>
      </c>
      <c r="B38" s="10">
        <f>(0.5*B14+A44*B32)*(1+B26)</f>
        <v>11181422112</v>
      </c>
      <c r="C38" s="10">
        <f t="shared" ref="C38:L38" si="14">(B38+0.95*C32)*(1+C26)</f>
        <v>22400487939</v>
      </c>
      <c r="D38" s="10">
        <f t="shared" si="14"/>
        <v>34742020038</v>
      </c>
      <c r="E38" s="10">
        <f t="shared" si="14"/>
        <v>48289366703</v>
      </c>
      <c r="F38" s="10">
        <f t="shared" si="14"/>
        <v>63025505174</v>
      </c>
      <c r="G38" s="10">
        <f t="shared" si="14"/>
        <v>78984846433</v>
      </c>
      <c r="H38" s="10">
        <f t="shared" si="14"/>
        <v>96437204194</v>
      </c>
      <c r="I38" s="10">
        <f t="shared" si="14"/>
        <v>115420317025</v>
      </c>
      <c r="J38" s="10">
        <f t="shared" si="14"/>
        <v>136017176312</v>
      </c>
      <c r="K38" s="10">
        <f t="shared" si="14"/>
        <v>158323458039</v>
      </c>
      <c r="L38" s="10">
        <f t="shared" si="14"/>
        <v>182462398886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41</v>
      </c>
      <c r="B39" s="18">
        <f>(B38-B14-B27)/(B38+B32)</f>
        <v>0.03510348069</v>
      </c>
      <c r="C39" s="18">
        <f t="shared" ref="C39:L39" si="15">(C38-B38-C27)/(C32+C38-B38)</f>
        <v>0.09746598193</v>
      </c>
      <c r="D39" s="18">
        <f t="shared" si="15"/>
        <v>0.1175275997</v>
      </c>
      <c r="E39" s="18">
        <f t="shared" si="15"/>
        <v>0.135551379</v>
      </c>
      <c r="F39" s="18">
        <f t="shared" si="15"/>
        <v>0.1503134852</v>
      </c>
      <c r="G39" s="18">
        <f t="shared" si="15"/>
        <v>0.1627990497</v>
      </c>
      <c r="H39" s="18">
        <f t="shared" si="15"/>
        <v>0.1795152487</v>
      </c>
      <c r="I39" s="18">
        <f t="shared" si="15"/>
        <v>0.1939258188</v>
      </c>
      <c r="J39" s="18">
        <f t="shared" si="15"/>
        <v>0.2070865308</v>
      </c>
      <c r="K39" s="18">
        <f t="shared" si="15"/>
        <v>0.2193175852</v>
      </c>
      <c r="L39" s="18">
        <f t="shared" si="15"/>
        <v>0.2312159865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 t="s">
        <v>25</v>
      </c>
      <c r="C40" s="21">
        <v>2176.0</v>
      </c>
      <c r="D40" s="21">
        <v>2177.0</v>
      </c>
      <c r="E40" s="21">
        <v>2178.0</v>
      </c>
      <c r="F40" s="21">
        <v>2179.0</v>
      </c>
      <c r="G40" s="21">
        <v>2180.0</v>
      </c>
      <c r="H40" s="21">
        <v>2181.0</v>
      </c>
      <c r="I40" s="21">
        <v>2182.0</v>
      </c>
      <c r="J40" s="21">
        <v>2183.0</v>
      </c>
      <c r="K40" s="21">
        <v>2184.0</v>
      </c>
      <c r="L40" s="21">
        <v>2185.0</v>
      </c>
      <c r="M40" s="21">
        <v>2186.0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3" t="s">
        <v>46</v>
      </c>
      <c r="C41" s="7">
        <f>8618186873.65/1000000000</f>
        <v>8.618186874</v>
      </c>
      <c r="D41" s="7">
        <f>9067616700.92/1000000000</f>
        <v>9.067616701</v>
      </c>
      <c r="E41" s="7">
        <f>9546970817.25/1000000000</f>
        <v>9.546970817</v>
      </c>
      <c r="F41" s="7">
        <f>10072155410.08/1000000000</f>
        <v>10.07215541</v>
      </c>
      <c r="G41" s="7">
        <f>10609760733.96/1000000000</f>
        <v>10.60976073</v>
      </c>
      <c r="H41" s="7">
        <f>11179313909.68/1000000000</f>
        <v>11.17931391</v>
      </c>
      <c r="I41" s="7">
        <f>11782869416.62/1000000000</f>
        <v>11.78286942</v>
      </c>
      <c r="J41" s="7">
        <f>12415397412.65/1000000000</f>
        <v>12.41539741</v>
      </c>
      <c r="K41" s="7">
        <f>13083149630.17/1000000000</f>
        <v>13.08314963</v>
      </c>
      <c r="L41" s="7">
        <f>13788153464.4/1000000000</f>
        <v>13.78815346</v>
      </c>
      <c r="M41" s="7">
        <f>14529738267.96/1000000000</f>
        <v>14.52973827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3" t="s">
        <v>18</v>
      </c>
      <c r="C42" s="22">
        <v>0.2008</v>
      </c>
      <c r="D42" s="22">
        <v>0.1985</v>
      </c>
      <c r="E42" s="22">
        <v>0.2007</v>
      </c>
      <c r="F42" s="22">
        <v>0.2025</v>
      </c>
      <c r="G42" s="22">
        <v>0.2008</v>
      </c>
      <c r="H42" s="22">
        <v>0.1999</v>
      </c>
      <c r="I42" s="22">
        <v>0.2009</v>
      </c>
      <c r="J42" s="22">
        <v>0.2009</v>
      </c>
      <c r="K42" s="22">
        <v>0.2009</v>
      </c>
      <c r="L42" s="22">
        <v>0.2008</v>
      </c>
      <c r="M42" s="22">
        <v>0.2006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>
        <v>0.95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2" width="21.44"/>
    <col customWidth="1" min="3" max="3" width="20.78"/>
    <col customWidth="1" min="4" max="11" width="20.44"/>
    <col customWidth="1" min="12" max="12" width="22.33"/>
    <col customWidth="1" min="13" max="13" width="18.78"/>
    <col customWidth="1" min="14" max="26" width="10.56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/>
      <c r="B3" s="3" t="s">
        <v>47</v>
      </c>
      <c r="C3" s="3" t="s">
        <v>1</v>
      </c>
      <c r="D3" s="3" t="s">
        <v>2</v>
      </c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48</v>
      </c>
      <c r="B4" s="23">
        <v>98524.0</v>
      </c>
      <c r="C4" s="24">
        <v>0.05</v>
      </c>
      <c r="D4" s="24">
        <v>0.1</v>
      </c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/>
      <c r="B5" s="5"/>
      <c r="C5" s="6"/>
      <c r="D5" s="6"/>
      <c r="E5" s="7"/>
      <c r="F5" s="7"/>
      <c r="G5" s="1" t="s">
        <v>49</v>
      </c>
      <c r="H5" s="25">
        <v>0.0239057365892857</v>
      </c>
      <c r="I5" s="26">
        <v>0.051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/>
      <c r="B6" s="5"/>
      <c r="C6" s="6"/>
      <c r="D6" s="6"/>
      <c r="E6" s="7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>
        <v>2175.0</v>
      </c>
      <c r="B7" s="5"/>
      <c r="C7" s="8" t="s">
        <v>12</v>
      </c>
      <c r="D7" s="6"/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13</v>
      </c>
      <c r="B8" s="7">
        <f>B12/B4</f>
        <v>477732.1188</v>
      </c>
      <c r="C8" s="7"/>
      <c r="D8" s="6"/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14</v>
      </c>
      <c r="B9" s="7">
        <f>B8/(1-C4-D4)</f>
        <v>562037.7868</v>
      </c>
      <c r="C9" s="7">
        <f>B9*B4</f>
        <v>55374210908</v>
      </c>
      <c r="D9" s="6"/>
      <c r="E9" s="7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/>
      <c r="B10" s="10"/>
      <c r="C10" s="10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 t="s">
        <v>15</v>
      </c>
      <c r="B12" s="27">
        <v>4.7068079272E10</v>
      </c>
      <c r="C12" s="2"/>
      <c r="D12" s="2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 t="s">
        <v>16</v>
      </c>
      <c r="B13" s="10">
        <f>C9</f>
        <v>55374210908</v>
      </c>
      <c r="C13" s="10">
        <f>B13*I5</f>
        <v>2824084756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 t="s">
        <v>17</v>
      </c>
      <c r="B14" s="10">
        <f>(B13+C13)-B12</f>
        <v>11130216393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 t="s">
        <v>18</v>
      </c>
      <c r="B15" s="11">
        <f>B14/B13</f>
        <v>0.201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 t="s">
        <v>19</v>
      </c>
      <c r="B18" s="12" t="s">
        <v>20</v>
      </c>
      <c r="C18" s="1" t="s">
        <v>21</v>
      </c>
      <c r="D18" s="2"/>
      <c r="E18" s="10">
        <f>C38-C27</f>
        <v>79004923155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 t="s">
        <v>22</v>
      </c>
      <c r="B19" s="13">
        <v>0.25</v>
      </c>
      <c r="C19" s="14">
        <f t="shared" ref="C19:C21" si="1">B19/10</f>
        <v>0.025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 t="s">
        <v>23</v>
      </c>
      <c r="B20" s="13">
        <v>0.25</v>
      </c>
      <c r="C20" s="14">
        <f t="shared" si="1"/>
        <v>0.025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 t="s">
        <v>24</v>
      </c>
      <c r="B21" s="13">
        <v>0.15</v>
      </c>
      <c r="C21" s="14">
        <f t="shared" si="1"/>
        <v>0.015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3"/>
      <c r="C22" s="14">
        <f>AVERAGE(C19:C21)</f>
        <v>0.02166666667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 t="s">
        <v>25</v>
      </c>
      <c r="B24" s="15">
        <v>2176.0</v>
      </c>
      <c r="C24" s="15">
        <v>2177.0</v>
      </c>
      <c r="D24" s="15">
        <f t="shared" ref="D24:L24" si="2">C24+1</f>
        <v>2178</v>
      </c>
      <c r="E24" s="15">
        <f t="shared" si="2"/>
        <v>2179</v>
      </c>
      <c r="F24" s="15">
        <f t="shared" si="2"/>
        <v>2180</v>
      </c>
      <c r="G24" s="15">
        <f t="shared" si="2"/>
        <v>2181</v>
      </c>
      <c r="H24" s="15">
        <f t="shared" si="2"/>
        <v>2182</v>
      </c>
      <c r="I24" s="15">
        <f t="shared" si="2"/>
        <v>2183</v>
      </c>
      <c r="J24" s="15">
        <f t="shared" si="2"/>
        <v>2184</v>
      </c>
      <c r="K24" s="15">
        <f t="shared" si="2"/>
        <v>2185</v>
      </c>
      <c r="L24" s="15">
        <f t="shared" si="2"/>
        <v>2186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26</v>
      </c>
      <c r="B25" s="11">
        <v>0.0371</v>
      </c>
      <c r="C25" s="11">
        <v>0.0295</v>
      </c>
      <c r="D25" s="11">
        <v>0.0302</v>
      </c>
      <c r="E25" s="11">
        <v>0.0323</v>
      </c>
      <c r="F25" s="11">
        <v>0.0307</v>
      </c>
      <c r="G25" s="11">
        <v>0.031</v>
      </c>
      <c r="H25" s="11">
        <v>0.0313</v>
      </c>
      <c r="I25" s="11">
        <v>0.031</v>
      </c>
      <c r="J25" s="11">
        <v>0.0311</v>
      </c>
      <c r="K25" s="11">
        <v>0.0312</v>
      </c>
      <c r="L25" s="11">
        <v>0.0311</v>
      </c>
      <c r="M25" s="1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 t="s">
        <v>27</v>
      </c>
      <c r="B26" s="11">
        <v>0.0376</v>
      </c>
      <c r="C26" s="11">
        <v>0.0422</v>
      </c>
      <c r="D26" s="11">
        <v>0.0444</v>
      </c>
      <c r="E26" s="11">
        <v>0.0446</v>
      </c>
      <c r="F26" s="11">
        <v>0.044</v>
      </c>
      <c r="G26" s="11">
        <v>0.0426</v>
      </c>
      <c r="H26" s="11">
        <v>0.0436</v>
      </c>
      <c r="I26" s="11">
        <v>0.0438</v>
      </c>
      <c r="J26" s="11">
        <v>0.0437</v>
      </c>
      <c r="K26" s="11">
        <v>0.0435</v>
      </c>
      <c r="L26" s="11">
        <v>0.0434</v>
      </c>
      <c r="M26" s="1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 t="s">
        <v>46</v>
      </c>
      <c r="B27" s="10">
        <f>B12*(1+B25)*(1+2.2%)</f>
        <v>49888219723</v>
      </c>
      <c r="C27" s="10">
        <f t="shared" ref="C27:L27" si="3">B27*(1+C25)*(1+2.2%)</f>
        <v>52489840494</v>
      </c>
      <c r="D27" s="10">
        <f t="shared" si="3"/>
        <v>55264684417</v>
      </c>
      <c r="E27" s="10">
        <f t="shared" si="3"/>
        <v>58304827866</v>
      </c>
      <c r="F27" s="10">
        <f t="shared" si="3"/>
        <v>61416871375</v>
      </c>
      <c r="G27" s="10">
        <f t="shared" si="3"/>
        <v>64713851864</v>
      </c>
      <c r="H27" s="10">
        <f t="shared" si="3"/>
        <v>68207662127</v>
      </c>
      <c r="I27" s="10">
        <f t="shared" si="3"/>
        <v>71869185846</v>
      </c>
      <c r="J27" s="10">
        <f t="shared" si="3"/>
        <v>75734612511</v>
      </c>
      <c r="K27" s="10">
        <f t="shared" si="3"/>
        <v>79815678135</v>
      </c>
      <c r="L27" s="10">
        <f t="shared" si="3"/>
        <v>84108500530</v>
      </c>
      <c r="M27" s="1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51</v>
      </c>
      <c r="B28" s="2">
        <f>B4</f>
        <v>98524</v>
      </c>
      <c r="C28" s="2">
        <f t="shared" ref="C28:L28" si="4">B28*(1+0.5%)</f>
        <v>99016.62</v>
      </c>
      <c r="D28" s="2">
        <f t="shared" si="4"/>
        <v>99511.7031</v>
      </c>
      <c r="E28" s="2">
        <f t="shared" si="4"/>
        <v>100009.2616</v>
      </c>
      <c r="F28" s="2">
        <f t="shared" si="4"/>
        <v>100509.3079</v>
      </c>
      <c r="G28" s="2">
        <f t="shared" si="4"/>
        <v>101011.8545</v>
      </c>
      <c r="H28" s="2">
        <f t="shared" si="4"/>
        <v>101516.9137</v>
      </c>
      <c r="I28" s="2">
        <f t="shared" si="4"/>
        <v>102024.4983</v>
      </c>
      <c r="J28" s="2">
        <f t="shared" si="4"/>
        <v>102534.6208</v>
      </c>
      <c r="K28" s="2">
        <f t="shared" si="4"/>
        <v>103047.2939</v>
      </c>
      <c r="L28" s="2">
        <f t="shared" si="4"/>
        <v>103562.5304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33</v>
      </c>
      <c r="B29" s="10">
        <f t="shared" ref="B29:L29" si="5">(B27/B28)*(1+B25)</f>
        <v>525141.82</v>
      </c>
      <c r="C29" s="10">
        <f t="shared" si="5"/>
        <v>545749.7013</v>
      </c>
      <c r="D29" s="10">
        <f t="shared" si="5"/>
        <v>572130.4742</v>
      </c>
      <c r="E29" s="10">
        <f t="shared" si="5"/>
        <v>601824.9993</v>
      </c>
      <c r="F29" s="10">
        <f t="shared" si="5"/>
        <v>629815.9905</v>
      </c>
      <c r="G29" s="10">
        <f t="shared" si="5"/>
        <v>660516.3486</v>
      </c>
      <c r="H29" s="10">
        <f t="shared" si="5"/>
        <v>692914.7012</v>
      </c>
      <c r="I29" s="10">
        <f t="shared" si="5"/>
        <v>726268.0223</v>
      </c>
      <c r="J29" s="10">
        <f t="shared" si="5"/>
        <v>761596.0185</v>
      </c>
      <c r="K29" s="10">
        <f t="shared" si="5"/>
        <v>798719.9292</v>
      </c>
      <c r="L29" s="10">
        <f t="shared" si="5"/>
        <v>837409.7715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 t="s">
        <v>34</v>
      </c>
      <c r="B30" s="17">
        <f t="shared" ref="B30:L30" si="6">(1-$C$4-$D$4)</f>
        <v>0.85</v>
      </c>
      <c r="C30" s="17">
        <f t="shared" si="6"/>
        <v>0.85</v>
      </c>
      <c r="D30" s="17">
        <f t="shared" si="6"/>
        <v>0.85</v>
      </c>
      <c r="E30" s="17">
        <f t="shared" si="6"/>
        <v>0.85</v>
      </c>
      <c r="F30" s="17">
        <f t="shared" si="6"/>
        <v>0.85</v>
      </c>
      <c r="G30" s="17">
        <f t="shared" si="6"/>
        <v>0.85</v>
      </c>
      <c r="H30" s="17">
        <f t="shared" si="6"/>
        <v>0.85</v>
      </c>
      <c r="I30" s="17">
        <f t="shared" si="6"/>
        <v>0.85</v>
      </c>
      <c r="J30" s="17">
        <f t="shared" si="6"/>
        <v>0.85</v>
      </c>
      <c r="K30" s="17">
        <f t="shared" si="6"/>
        <v>0.85</v>
      </c>
      <c r="L30" s="17">
        <f t="shared" si="6"/>
        <v>0.85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35</v>
      </c>
      <c r="B31" s="10">
        <f t="shared" ref="B31:L31" si="7">B29/B30</f>
        <v>617813.9059</v>
      </c>
      <c r="C31" s="10">
        <f t="shared" si="7"/>
        <v>642058.4721</v>
      </c>
      <c r="D31" s="10">
        <f t="shared" si="7"/>
        <v>673094.6756</v>
      </c>
      <c r="E31" s="10">
        <f t="shared" si="7"/>
        <v>708029.411</v>
      </c>
      <c r="F31" s="10">
        <f t="shared" si="7"/>
        <v>740959.9888</v>
      </c>
      <c r="G31" s="10">
        <f t="shared" si="7"/>
        <v>777078.0571</v>
      </c>
      <c r="H31" s="10">
        <f t="shared" si="7"/>
        <v>815193.7662</v>
      </c>
      <c r="I31" s="10">
        <f t="shared" si="7"/>
        <v>854432.9674</v>
      </c>
      <c r="J31" s="10">
        <f t="shared" si="7"/>
        <v>895995.3159</v>
      </c>
      <c r="K31" s="10">
        <f t="shared" si="7"/>
        <v>939670.505</v>
      </c>
      <c r="L31" s="10">
        <f t="shared" si="7"/>
        <v>985187.9665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 t="s">
        <v>36</v>
      </c>
      <c r="B32" s="10">
        <f t="shared" ref="B32:L32" si="8">B31*B28</f>
        <v>60869497265</v>
      </c>
      <c r="C32" s="10">
        <f t="shared" si="8"/>
        <v>63574459751</v>
      </c>
      <c r="D32" s="10">
        <f t="shared" si="8"/>
        <v>66980797514</v>
      </c>
      <c r="E32" s="10">
        <f t="shared" si="8"/>
        <v>70809498595</v>
      </c>
      <c r="F32" s="10">
        <f t="shared" si="8"/>
        <v>74473375678</v>
      </c>
      <c r="G32" s="10">
        <f t="shared" si="8"/>
        <v>78494095614</v>
      </c>
      <c r="H32" s="10">
        <f t="shared" si="8"/>
        <v>82755955237</v>
      </c>
      <c r="I32" s="10">
        <f t="shared" si="8"/>
        <v>87173094832</v>
      </c>
      <c r="J32" s="10">
        <f t="shared" si="8"/>
        <v>91870539953</v>
      </c>
      <c r="K32" s="10">
        <f t="shared" si="8"/>
        <v>96830502697</v>
      </c>
      <c r="L32" s="10">
        <f t="shared" si="8"/>
        <v>102028558702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52</v>
      </c>
      <c r="B33" s="10">
        <f t="shared" ref="B33:L33" si="9">B32*B26</f>
        <v>2288693097</v>
      </c>
      <c r="C33" s="10">
        <f t="shared" si="9"/>
        <v>2682842201</v>
      </c>
      <c r="D33" s="10">
        <f t="shared" si="9"/>
        <v>2973947410</v>
      </c>
      <c r="E33" s="10">
        <f t="shared" si="9"/>
        <v>3158103637</v>
      </c>
      <c r="F33" s="10">
        <f t="shared" si="9"/>
        <v>3276828530</v>
      </c>
      <c r="G33" s="10">
        <f t="shared" si="9"/>
        <v>3343848473</v>
      </c>
      <c r="H33" s="10">
        <f t="shared" si="9"/>
        <v>3608159648</v>
      </c>
      <c r="I33" s="10">
        <f t="shared" si="9"/>
        <v>3818181554</v>
      </c>
      <c r="J33" s="10">
        <f t="shared" si="9"/>
        <v>4014742596</v>
      </c>
      <c r="K33" s="10">
        <f t="shared" si="9"/>
        <v>4212126867</v>
      </c>
      <c r="L33" s="10">
        <f t="shared" si="9"/>
        <v>4428039448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 t="s">
        <v>16</v>
      </c>
      <c r="B34" s="10">
        <f t="shared" ref="B34:L34" si="10">B33+B32</f>
        <v>63158190362</v>
      </c>
      <c r="C34" s="10">
        <f t="shared" si="10"/>
        <v>66257301952</v>
      </c>
      <c r="D34" s="10">
        <f t="shared" si="10"/>
        <v>69954744924</v>
      </c>
      <c r="E34" s="10">
        <f t="shared" si="10"/>
        <v>73967602233</v>
      </c>
      <c r="F34" s="10">
        <f t="shared" si="10"/>
        <v>77750204208</v>
      </c>
      <c r="G34" s="10">
        <f t="shared" si="10"/>
        <v>81837944088</v>
      </c>
      <c r="H34" s="10">
        <f t="shared" si="10"/>
        <v>86364114886</v>
      </c>
      <c r="I34" s="10">
        <f t="shared" si="10"/>
        <v>90991276385</v>
      </c>
      <c r="J34" s="10">
        <f t="shared" si="10"/>
        <v>95885282549</v>
      </c>
      <c r="K34" s="10">
        <f t="shared" si="10"/>
        <v>101042629564</v>
      </c>
      <c r="L34" s="10">
        <f t="shared" si="10"/>
        <v>106456598150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 t="s">
        <v>38</v>
      </c>
      <c r="B35" s="10">
        <f t="shared" ref="B35:L35" si="11">B34-B27</f>
        <v>13269970639</v>
      </c>
      <c r="C35" s="10">
        <f t="shared" si="11"/>
        <v>13767461459</v>
      </c>
      <c r="D35" s="10">
        <f t="shared" si="11"/>
        <v>14690060506</v>
      </c>
      <c r="E35" s="10">
        <f t="shared" si="11"/>
        <v>15662774367</v>
      </c>
      <c r="F35" s="10">
        <f t="shared" si="11"/>
        <v>16333332833</v>
      </c>
      <c r="G35" s="10">
        <f t="shared" si="11"/>
        <v>17124092223</v>
      </c>
      <c r="H35" s="10">
        <f t="shared" si="11"/>
        <v>18156452759</v>
      </c>
      <c r="I35" s="10">
        <f t="shared" si="11"/>
        <v>19122090540</v>
      </c>
      <c r="J35" s="10">
        <f t="shared" si="11"/>
        <v>20150670038</v>
      </c>
      <c r="K35" s="10">
        <f t="shared" si="11"/>
        <v>21226951430</v>
      </c>
      <c r="L35" s="10">
        <f t="shared" si="11"/>
        <v>22348097620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 t="s">
        <v>18</v>
      </c>
      <c r="B36" s="11">
        <f t="shared" ref="B36:L36" si="12">B35/B34</f>
        <v>0.210106885</v>
      </c>
      <c r="C36" s="11">
        <f t="shared" si="12"/>
        <v>0.207787837</v>
      </c>
      <c r="D36" s="11">
        <f t="shared" si="12"/>
        <v>0.2099937684</v>
      </c>
      <c r="E36" s="11">
        <f t="shared" si="12"/>
        <v>0.2117518196</v>
      </c>
      <c r="F36" s="11">
        <f t="shared" si="12"/>
        <v>0.2100744686</v>
      </c>
      <c r="G36" s="11">
        <f t="shared" si="12"/>
        <v>0.20924392</v>
      </c>
      <c r="H36" s="11">
        <f t="shared" si="12"/>
        <v>0.210231446</v>
      </c>
      <c r="I36" s="11">
        <f t="shared" si="12"/>
        <v>0.2101530092</v>
      </c>
      <c r="J36" s="11">
        <f t="shared" si="12"/>
        <v>0.2101539413</v>
      </c>
      <c r="K36" s="11">
        <f t="shared" si="12"/>
        <v>0.2100791668</v>
      </c>
      <c r="L36" s="11">
        <f t="shared" si="12"/>
        <v>0.2099268435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 t="s">
        <v>39</v>
      </c>
      <c r="B37" s="10">
        <f>(11130216392.56*0.5+(B32)*(1-A44))</f>
        <v>8608583060</v>
      </c>
      <c r="C37" s="10">
        <f t="shared" ref="C37:L37" si="13">B37+0.05*C32</f>
        <v>11787306047</v>
      </c>
      <c r="D37" s="10">
        <f t="shared" si="13"/>
        <v>15136345923</v>
      </c>
      <c r="E37" s="10">
        <f t="shared" si="13"/>
        <v>18676820853</v>
      </c>
      <c r="F37" s="10">
        <f t="shared" si="13"/>
        <v>22400489636</v>
      </c>
      <c r="G37" s="10">
        <f t="shared" si="13"/>
        <v>26325194417</v>
      </c>
      <c r="H37" s="10">
        <f t="shared" si="13"/>
        <v>30462992179</v>
      </c>
      <c r="I37" s="10">
        <f t="shared" si="13"/>
        <v>34821646921</v>
      </c>
      <c r="J37" s="10">
        <f t="shared" si="13"/>
        <v>39415173918</v>
      </c>
      <c r="K37" s="10">
        <f t="shared" si="13"/>
        <v>44256699053</v>
      </c>
      <c r="L37" s="10">
        <f t="shared" si="13"/>
        <v>49358126988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 t="s">
        <v>40</v>
      </c>
      <c r="B38" s="10">
        <f>(0.5*B14+A44*B32)*(1+B26)</f>
        <v>65774637108</v>
      </c>
      <c r="C38" s="10">
        <f t="shared" ref="C38:L38" si="14">(B38+0.95*C32)*(1+C26)</f>
        <v>131494763649</v>
      </c>
      <c r="D38" s="10">
        <f t="shared" si="14"/>
        <v>203790138832</v>
      </c>
      <c r="E38" s="10">
        <f t="shared" si="14"/>
        <v>283148401145</v>
      </c>
      <c r="F38" s="10">
        <f t="shared" si="14"/>
        <v>369469624793</v>
      </c>
      <c r="G38" s="10">
        <f t="shared" si="14"/>
        <v>462955077693</v>
      </c>
      <c r="H38" s="10">
        <f t="shared" si="14"/>
        <v>565185828222</v>
      </c>
      <c r="I38" s="10">
        <f t="shared" si="14"/>
        <v>676382680064</v>
      </c>
      <c r="J38" s="10">
        <f t="shared" si="14"/>
        <v>797031621604</v>
      </c>
      <c r="K38" s="10">
        <f t="shared" si="14"/>
        <v>927692995230</v>
      </c>
      <c r="L38" s="10">
        <f t="shared" si="14"/>
        <v>1069088639465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 t="s">
        <v>41</v>
      </c>
      <c r="B39" s="30">
        <f>(B38-11130216392.56-B27)/(B32+B38)</f>
        <v>0.03755563584</v>
      </c>
      <c r="C39" s="30">
        <f t="shared" ref="C39:L39" si="15">(C38-B38-C27)/(C32+C38-B38)</f>
        <v>0.1023266822</v>
      </c>
      <c r="D39" s="30">
        <f t="shared" si="15"/>
        <v>0.1222800026</v>
      </c>
      <c r="E39" s="30">
        <f t="shared" si="15"/>
        <v>0.1401994298</v>
      </c>
      <c r="F39" s="30">
        <f t="shared" si="15"/>
        <v>0.1548830146</v>
      </c>
      <c r="G39" s="30">
        <f t="shared" si="15"/>
        <v>0.1672966424</v>
      </c>
      <c r="H39" s="30">
        <f t="shared" si="15"/>
        <v>0.1839218027</v>
      </c>
      <c r="I39" s="30">
        <f t="shared" si="15"/>
        <v>0.1982541542</v>
      </c>
      <c r="J39" s="30">
        <f t="shared" si="15"/>
        <v>0.211342173</v>
      </c>
      <c r="K39" s="30">
        <f t="shared" si="15"/>
        <v>0.2235055436</v>
      </c>
      <c r="L39" s="30">
        <f t="shared" si="15"/>
        <v>0.2353387338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3" t="s">
        <v>25</v>
      </c>
      <c r="C40" s="21">
        <v>2176.0</v>
      </c>
      <c r="D40" s="21">
        <v>2177.0</v>
      </c>
      <c r="E40" s="21">
        <v>2178.0</v>
      </c>
      <c r="F40" s="21">
        <v>2179.0</v>
      </c>
      <c r="G40" s="21">
        <v>2180.0</v>
      </c>
      <c r="H40" s="21">
        <v>2181.0</v>
      </c>
      <c r="I40" s="21">
        <v>2182.0</v>
      </c>
      <c r="J40" s="21">
        <v>2183.0</v>
      </c>
      <c r="K40" s="21">
        <v>2184.0</v>
      </c>
      <c r="L40" s="21">
        <v>2185.0</v>
      </c>
      <c r="M40" s="21">
        <v>2186.0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3" t="s">
        <v>46</v>
      </c>
      <c r="C41" s="7">
        <f>49888219723.28/1000000000</f>
        <v>49.88821972</v>
      </c>
      <c r="D41" s="7">
        <f>52489840493.63/1000000000</f>
        <v>52.48984049</v>
      </c>
      <c r="E41" s="7">
        <f>55264684417.42/1000000000</f>
        <v>55.26468442</v>
      </c>
      <c r="F41" s="7">
        <f>58304827866.03/1000000000</f>
        <v>58.30482787</v>
      </c>
      <c r="G41" s="7">
        <f>61416871375.31/1000000000</f>
        <v>61.41687138</v>
      </c>
      <c r="H41" s="7">
        <f>64713851864.48/1000000000</f>
        <v>64.71385186</v>
      </c>
      <c r="I41" s="7">
        <f>68207662127.25/1000000000</f>
        <v>68.20766213</v>
      </c>
      <c r="J41" s="7">
        <f>71869185845.57/1000000000</f>
        <v>71.86918585</v>
      </c>
      <c r="K41" s="7">
        <f>75734612510.92/1000000000</f>
        <v>75.73461251</v>
      </c>
      <c r="L41" s="7">
        <f>79815678134.53/1000000000</f>
        <v>79.81567813</v>
      </c>
      <c r="M41" s="7">
        <f>84108500530.45/1000000000</f>
        <v>84.10850053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3" t="s">
        <v>18</v>
      </c>
      <c r="C42" s="22">
        <v>0.2101</v>
      </c>
      <c r="D42" s="22">
        <v>0.2078</v>
      </c>
      <c r="E42" s="22">
        <v>0.21</v>
      </c>
      <c r="F42" s="22">
        <v>0.2118</v>
      </c>
      <c r="G42" s="22">
        <v>0.2101</v>
      </c>
      <c r="H42" s="22">
        <v>0.2092</v>
      </c>
      <c r="I42" s="22">
        <v>0.2102</v>
      </c>
      <c r="J42" s="22">
        <v>0.2102</v>
      </c>
      <c r="K42" s="22">
        <v>0.2102</v>
      </c>
      <c r="L42" s="22">
        <v>0.2101</v>
      </c>
      <c r="M42" s="22">
        <v>0.2099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>
        <v>0.95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2026-03-24T05:15:32Z</dcterms:created>
  <dc:creator>Amanda Xu</dc:creator>
</cp:coreProperties>
</file>